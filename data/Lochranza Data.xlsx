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232bbbbf803fea7/Documents/UoE/Masters/PSfEE/Lochranza/"/>
    </mc:Choice>
  </mc:AlternateContent>
  <xr:revisionPtr revIDLastSave="2530" documentId="8_{A2080C14-A7A2-46DA-9BD8-995F5A006CC1}" xr6:coauthVersionLast="47" xr6:coauthVersionMax="47" xr10:uidLastSave="{07796E22-0111-46F8-88FA-260EA0491BE8}"/>
  <bookViews>
    <workbookView xWindow="-108" yWindow="-108" windowWidth="23256" windowHeight="12456" activeTab="8" xr2:uid="{17C19944-D752-4002-B578-0F660A574E3B}"/>
  </bookViews>
  <sheets>
    <sheet name="Plants" sheetId="1" r:id="rId1"/>
    <sheet name="Moths" sheetId="2" r:id="rId2"/>
    <sheet name="Sweeps" sheetId="3" r:id="rId3"/>
    <sheet name="Water" sheetId="4" r:id="rId4"/>
    <sheet name="Mammals" sheetId="5" r:id="rId5"/>
    <sheet name="Birds" sheetId="6" r:id="rId6"/>
    <sheet name="Bats" sheetId="8" r:id="rId7"/>
    <sheet name="Counts" sheetId="7" r:id="rId8"/>
    <sheet name="BOCC 5" sheetId="9" r:id="rId9"/>
  </sheets>
  <definedNames>
    <definedName name="_xlnm._FilterDatabase" localSheetId="1" hidden="1">Moths!$V$2:$Z$2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33" i="1" l="1"/>
  <c r="AJ37" i="1"/>
  <c r="AJ36" i="1"/>
  <c r="AJ35" i="1"/>
  <c r="AJ34" i="1"/>
  <c r="AJ33" i="1"/>
  <c r="AJ32" i="1"/>
  <c r="AJ31" i="1"/>
  <c r="AJ30" i="1"/>
  <c r="AJ29" i="1"/>
  <c r="AJ28" i="1"/>
  <c r="AJ27" i="1"/>
  <c r="AJ26" i="1"/>
  <c r="AJ25" i="1"/>
  <c r="AJ24" i="1"/>
  <c r="AJ23" i="1"/>
  <c r="AJ22" i="1"/>
  <c r="AJ21" i="1"/>
  <c r="AJ20" i="1"/>
  <c r="AJ19" i="1"/>
  <c r="AJ18" i="1"/>
  <c r="AJ17" i="1"/>
  <c r="AJ16" i="1"/>
  <c r="AJ15" i="1"/>
  <c r="AJ14" i="1"/>
  <c r="AJ13" i="1"/>
  <c r="AJ12" i="1"/>
  <c r="AJ11" i="1"/>
  <c r="AJ10" i="1"/>
  <c r="AJ9" i="1"/>
  <c r="AJ8" i="1"/>
  <c r="AJ7" i="1"/>
  <c r="AJ6" i="1"/>
  <c r="AJ5" i="1"/>
  <c r="AJ4" i="1"/>
  <c r="AJ3" i="1"/>
  <c r="AJ2" i="1"/>
  <c r="AH36" i="1"/>
  <c r="AH35" i="1"/>
  <c r="AH34" i="1"/>
  <c r="AH33" i="1"/>
  <c r="AH32" i="1"/>
  <c r="AH31" i="1"/>
  <c r="AH30" i="1"/>
  <c r="AH29" i="1"/>
  <c r="AH28" i="1"/>
  <c r="AH27" i="1"/>
  <c r="AH26" i="1"/>
  <c r="AH25" i="1"/>
  <c r="AH24" i="1"/>
  <c r="AH23" i="1"/>
  <c r="AH22" i="1"/>
  <c r="AH21" i="1"/>
  <c r="AH20" i="1"/>
  <c r="AH19" i="1"/>
  <c r="AH18" i="1"/>
  <c r="AH17" i="1"/>
  <c r="AH16" i="1"/>
  <c r="AH15" i="1"/>
  <c r="AH14" i="1"/>
  <c r="AH13" i="1"/>
  <c r="AH12" i="1"/>
  <c r="AH11" i="1"/>
  <c r="AH10" i="1"/>
  <c r="AH9" i="1"/>
  <c r="AH8" i="1"/>
  <c r="AH7" i="1"/>
  <c r="AH6" i="1"/>
  <c r="AH5" i="1"/>
  <c r="AH4" i="1"/>
  <c r="AH3" i="1"/>
  <c r="AH2" i="1"/>
  <c r="AI36" i="1"/>
  <c r="AI35" i="1"/>
  <c r="AI34" i="1"/>
  <c r="AI33" i="1"/>
  <c r="AI32" i="1"/>
  <c r="AI31" i="1"/>
  <c r="AI30" i="1"/>
  <c r="AI29" i="1"/>
  <c r="AI28" i="1"/>
  <c r="AI27" i="1"/>
  <c r="AI26" i="1"/>
  <c r="AI25" i="1"/>
  <c r="AI24" i="1"/>
  <c r="AI23" i="1"/>
  <c r="AI22" i="1"/>
  <c r="AI21" i="1"/>
  <c r="AI20" i="1"/>
  <c r="AI19" i="1"/>
  <c r="AI18" i="1"/>
  <c r="AI17" i="1"/>
  <c r="AI16" i="1"/>
  <c r="AI15" i="1"/>
  <c r="AI14" i="1"/>
  <c r="AI13" i="1"/>
  <c r="AI12" i="1"/>
  <c r="AI11" i="1"/>
  <c r="AI10" i="1"/>
  <c r="AI9" i="1"/>
  <c r="AI8" i="1"/>
  <c r="AI7" i="1"/>
  <c r="AI6" i="1"/>
  <c r="AI5" i="1"/>
  <c r="AI4" i="1"/>
  <c r="AI3" i="1"/>
  <c r="AI2" i="1"/>
  <c r="CF107" i="7"/>
  <c r="CF112" i="7" s="1"/>
  <c r="P7" i="9"/>
  <c r="P22" i="9"/>
  <c r="P21" i="9"/>
  <c r="P20" i="9"/>
  <c r="P19" i="9"/>
  <c r="P18" i="9"/>
  <c r="P17" i="9"/>
  <c r="P16" i="9"/>
  <c r="P15" i="9"/>
  <c r="P14" i="9"/>
  <c r="P13" i="9"/>
  <c r="P12" i="9"/>
  <c r="P11" i="9"/>
  <c r="P10" i="9"/>
  <c r="P9" i="9"/>
  <c r="P8" i="9"/>
  <c r="P23" i="9"/>
  <c r="N7" i="9" a="1"/>
  <c r="N7" i="9" s="1"/>
  <c r="CJ17" i="7"/>
  <c r="CK17" i="7"/>
  <c r="CK16" i="7"/>
  <c r="CJ16" i="7"/>
  <c r="BA42" i="7"/>
  <c r="AZ42" i="7"/>
  <c r="AW23" i="7"/>
  <c r="AV23" i="7"/>
  <c r="V26" i="2"/>
  <c r="V17" i="6"/>
  <c r="AA14" i="6"/>
  <c r="CB122" i="7"/>
  <c r="CC122" i="7"/>
  <c r="U23" i="8"/>
  <c r="U8" i="8"/>
  <c r="CB1" i="7"/>
  <c r="CC1" i="7"/>
  <c r="CF109" i="7"/>
  <c r="CF108" i="7"/>
  <c r="CF106" i="7"/>
  <c r="BL108" i="7"/>
  <c r="BL113" i="7" s="1"/>
  <c r="BC42" i="7"/>
  <c r="Z7" i="8"/>
  <c r="Z6" i="8"/>
  <c r="Z5" i="8"/>
  <c r="Z4" i="8"/>
  <c r="Z3" i="8"/>
  <c r="W4" i="8"/>
  <c r="W3" i="8"/>
  <c r="AB5" i="7"/>
  <c r="AB2" i="7"/>
  <c r="BI118" i="7"/>
  <c r="BH118" i="7"/>
  <c r="AB3" i="7"/>
  <c r="BL110" i="7"/>
  <c r="BL109" i="7"/>
  <c r="BL107" i="7"/>
  <c r="K2" i="7"/>
  <c r="D26" i="7"/>
  <c r="D100" i="7" s="1"/>
  <c r="B26" i="7"/>
  <c r="B100" i="7" s="1"/>
  <c r="AQ38" i="7"/>
  <c r="AS38" i="7"/>
  <c r="AR38" i="7"/>
  <c r="BC29" i="7"/>
  <c r="BD29" i="7"/>
  <c r="BD30" i="7" s="1"/>
  <c r="BE29" i="7"/>
  <c r="AY41" i="7"/>
  <c r="AU22" i="7"/>
  <c r="BA41" i="7"/>
  <c r="AZ41" i="7"/>
  <c r="AW22" i="7"/>
  <c r="AV22" i="7"/>
  <c r="AA11" i="1"/>
  <c r="AN13" i="7" a="1"/>
  <c r="AN13" i="7" s="1"/>
  <c r="AN15" i="7" s="1"/>
  <c r="J35" i="7" a="1"/>
  <c r="J35" i="7" s="1"/>
  <c r="AI13" i="7" a="1"/>
  <c r="AI13" i="7" s="1"/>
  <c r="AI15" i="7" s="1"/>
  <c r="AN5" i="7"/>
  <c r="AI5" i="7"/>
  <c r="K29" i="7"/>
  <c r="AK27" i="7"/>
  <c r="AL3" i="7" s="1"/>
  <c r="AM3" i="7" s="1"/>
  <c r="AF27" i="7"/>
  <c r="AG11" i="7" s="1"/>
  <c r="AH11" i="7" s="1"/>
  <c r="AB4" i="7"/>
  <c r="Y2" i="7" a="1"/>
  <c r="Y2" i="7" s="1"/>
  <c r="D99" i="7"/>
  <c r="B99" i="7"/>
  <c r="Q35" i="7" a="1"/>
  <c r="Q35" i="7" s="1"/>
  <c r="R2" i="7"/>
  <c r="E26" i="7"/>
  <c r="N16" i="7" s="1"/>
  <c r="O16" i="7" s="1"/>
  <c r="C26" i="7"/>
  <c r="G25" i="7" s="1"/>
  <c r="H25" i="7" s="1"/>
  <c r="R29" i="7"/>
  <c r="E99" i="7"/>
  <c r="N91" i="7" s="1"/>
  <c r="O91" i="7" s="1"/>
  <c r="C99" i="7"/>
  <c r="G88" i="7" s="1"/>
  <c r="H88" i="7" s="1"/>
  <c r="L239" i="1"/>
  <c r="L238" i="1"/>
  <c r="L237" i="1"/>
  <c r="L236" i="1"/>
  <c r="L235" i="1"/>
  <c r="L234" i="1"/>
  <c r="L233" i="1"/>
  <c r="L232" i="1"/>
  <c r="L231" i="1"/>
  <c r="L230" i="1"/>
  <c r="L229" i="1"/>
  <c r="L228" i="1"/>
  <c r="L227" i="1"/>
  <c r="L226" i="1"/>
  <c r="L225" i="1"/>
  <c r="L224" i="1"/>
  <c r="L223" i="1"/>
  <c r="L222" i="1"/>
  <c r="L221" i="1"/>
  <c r="L220" i="1"/>
  <c r="L219" i="1"/>
  <c r="L218" i="1"/>
  <c r="L217" i="1"/>
  <c r="L216" i="1"/>
  <c r="L215" i="1"/>
  <c r="L214" i="1"/>
  <c r="L213" i="1"/>
  <c r="L212" i="1"/>
  <c r="L211" i="1"/>
  <c r="L210" i="1"/>
  <c r="L209" i="1"/>
  <c r="L208" i="1"/>
  <c r="L207" i="1"/>
  <c r="L206" i="1"/>
  <c r="L205" i="1"/>
  <c r="L204" i="1"/>
  <c r="L203" i="1"/>
  <c r="L202" i="1"/>
  <c r="L201" i="1"/>
  <c r="L200" i="1"/>
  <c r="L199" i="1"/>
  <c r="L198" i="1"/>
  <c r="L197" i="1"/>
  <c r="L196" i="1"/>
  <c r="L195" i="1"/>
  <c r="L194" i="1"/>
  <c r="L193" i="1"/>
  <c r="L192" i="1"/>
  <c r="L191" i="1"/>
  <c r="L190" i="1"/>
  <c r="L189" i="1"/>
  <c r="L188" i="1"/>
  <c r="L187" i="1"/>
  <c r="L186" i="1"/>
  <c r="L185" i="1"/>
  <c r="L184" i="1"/>
  <c r="L183" i="1"/>
  <c r="L182" i="1"/>
  <c r="L181" i="1"/>
  <c r="L180" i="1"/>
  <c r="L179" i="1"/>
  <c r="L178" i="1"/>
  <c r="L177" i="1"/>
  <c r="L176" i="1"/>
  <c r="L175" i="1"/>
  <c r="L174" i="1"/>
  <c r="L173" i="1"/>
  <c r="L172" i="1"/>
  <c r="L171" i="1"/>
  <c r="L170" i="1"/>
  <c r="L169" i="1"/>
  <c r="L168" i="1"/>
  <c r="L167" i="1"/>
  <c r="L166" i="1"/>
  <c r="L165" i="1"/>
  <c r="L164" i="1"/>
  <c r="L163" i="1"/>
  <c r="L162" i="1"/>
  <c r="L161" i="1"/>
  <c r="L160" i="1"/>
  <c r="L159" i="1"/>
  <c r="L158" i="1"/>
  <c r="L157" i="1"/>
  <c r="L156" i="1"/>
  <c r="L155" i="1"/>
  <c r="L154" i="1"/>
  <c r="L153" i="1"/>
  <c r="L152" i="1"/>
  <c r="L151" i="1"/>
  <c r="L150" i="1"/>
  <c r="L149" i="1"/>
  <c r="L148" i="1"/>
  <c r="L147" i="1"/>
  <c r="L146" i="1"/>
  <c r="L145" i="1"/>
  <c r="L144" i="1"/>
  <c r="L143" i="1"/>
  <c r="L142" i="1"/>
  <c r="L141" i="1"/>
  <c r="L140" i="1"/>
  <c r="L139" i="1"/>
  <c r="L138" i="1"/>
  <c r="L137" i="1"/>
  <c r="L136" i="1"/>
  <c r="L135" i="1"/>
  <c r="L134" i="1"/>
  <c r="L133" i="1"/>
  <c r="L132" i="1"/>
  <c r="L131" i="1"/>
  <c r="L130" i="1"/>
  <c r="L129" i="1"/>
  <c r="L128" i="1"/>
  <c r="L127" i="1"/>
  <c r="L126" i="1"/>
  <c r="L125" i="1"/>
  <c r="L124" i="1"/>
  <c r="L123" i="1"/>
  <c r="L122" i="1"/>
  <c r="L121" i="1"/>
  <c r="L120" i="1"/>
  <c r="L119" i="1"/>
  <c r="L118" i="1"/>
  <c r="L117" i="1"/>
  <c r="L116" i="1"/>
  <c r="L115" i="1"/>
  <c r="L114" i="1"/>
  <c r="L113" i="1"/>
  <c r="L112" i="1"/>
  <c r="L111" i="1"/>
  <c r="L110" i="1"/>
  <c r="L109" i="1"/>
  <c r="L108" i="1"/>
  <c r="L107" i="1"/>
  <c r="L106" i="1"/>
  <c r="L105" i="1"/>
  <c r="L104" i="1"/>
  <c r="L103" i="1"/>
  <c r="L102" i="1"/>
  <c r="L101" i="1"/>
  <c r="L100" i="1"/>
  <c r="L99" i="1"/>
  <c r="L98" i="1"/>
  <c r="L97" i="1"/>
  <c r="L96" i="1"/>
  <c r="L95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L3" i="1"/>
  <c r="L2" i="1"/>
  <c r="K240" i="1"/>
  <c r="AD13" i="6"/>
  <c r="AD12" i="6"/>
  <c r="AD11" i="6"/>
  <c r="AD10" i="6"/>
  <c r="AD9" i="6"/>
  <c r="AD8" i="6"/>
  <c r="AD7" i="6"/>
  <c r="AD6" i="6"/>
  <c r="AD5" i="6"/>
  <c r="AD4" i="6"/>
  <c r="AC13" i="6"/>
  <c r="AC12" i="6"/>
  <c r="AC11" i="6"/>
  <c r="AC10" i="6"/>
  <c r="AC9" i="6"/>
  <c r="AC8" i="6"/>
  <c r="AC7" i="6"/>
  <c r="AC6" i="6"/>
  <c r="AC5" i="6"/>
  <c r="AC4" i="6"/>
  <c r="AB3" i="6" a="1"/>
  <c r="AB3" i="6" s="1"/>
  <c r="AD3" i="6" s="1"/>
  <c r="AA3" i="6" a="1"/>
  <c r="AA3" i="6" s="1"/>
  <c r="AC3" i="6" s="1"/>
  <c r="Y16" i="6"/>
  <c r="Y15" i="6"/>
  <c r="Y14" i="6"/>
  <c r="Y13" i="6"/>
  <c r="Y12" i="6"/>
  <c r="Y11" i="6"/>
  <c r="Y10" i="6"/>
  <c r="Y9" i="6"/>
  <c r="Y8" i="6"/>
  <c r="Y6" i="6"/>
  <c r="Y5" i="6"/>
  <c r="Y4" i="6"/>
  <c r="X16" i="6"/>
  <c r="X15" i="6"/>
  <c r="X14" i="6"/>
  <c r="X13" i="6"/>
  <c r="X12" i="6"/>
  <c r="X11" i="6"/>
  <c r="X10" i="6"/>
  <c r="X9" i="6"/>
  <c r="X8" i="6"/>
  <c r="X6" i="6"/>
  <c r="X5" i="6"/>
  <c r="X4" i="6"/>
  <c r="W3" i="6" a="1"/>
  <c r="W3" i="6" s="1"/>
  <c r="Y3" i="6" s="1"/>
  <c r="V3" i="6" a="1"/>
  <c r="V3" i="6" s="1"/>
  <c r="X3" i="6" s="1"/>
  <c r="X17" i="6" s="1"/>
  <c r="V8" i="5"/>
  <c r="Y7" i="5"/>
  <c r="Y6" i="5"/>
  <c r="Y4" i="5"/>
  <c r="V7" i="5"/>
  <c r="V6" i="5"/>
  <c r="V4" i="5"/>
  <c r="X3" i="5" a="1"/>
  <c r="X3" i="5" s="1"/>
  <c r="Y3" i="5" s="1"/>
  <c r="U3" i="5" a="1"/>
  <c r="U3" i="5" s="1"/>
  <c r="V3" i="5" s="1"/>
  <c r="V3" i="2" a="1"/>
  <c r="V3" i="2" s="1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J240" i="1"/>
  <c r="X5" i="1"/>
  <c r="Z23" i="2"/>
  <c r="Y23" i="2"/>
  <c r="Z22" i="2"/>
  <c r="Z21" i="2"/>
  <c r="Z20" i="2"/>
  <c r="Z19" i="2"/>
  <c r="Z18" i="2"/>
  <c r="Z17" i="2"/>
  <c r="Z16" i="2"/>
  <c r="Z15" i="2"/>
  <c r="Z14" i="2"/>
  <c r="Z13" i="2"/>
  <c r="Z12" i="2"/>
  <c r="Z11" i="2"/>
  <c r="Z10" i="2"/>
  <c r="Z9" i="2"/>
  <c r="Z8" i="2"/>
  <c r="Z7" i="2"/>
  <c r="Z6" i="2"/>
  <c r="Z5" i="2"/>
  <c r="Z4" i="2"/>
  <c r="Z3" i="2"/>
  <c r="Y3" i="2" a="1"/>
  <c r="Y3" i="2" s="1"/>
  <c r="K37" i="4"/>
  <c r="J37" i="4"/>
  <c r="Y16" i="4"/>
  <c r="Z16" i="4"/>
  <c r="W12" i="4"/>
  <c r="V12" i="4"/>
  <c r="Z15" i="4"/>
  <c r="Z14" i="4"/>
  <c r="Z13" i="4"/>
  <c r="Z12" i="4"/>
  <c r="Z11" i="4"/>
  <c r="Z10" i="4"/>
  <c r="Z9" i="4"/>
  <c r="Z8" i="4"/>
  <c r="Z7" i="4"/>
  <c r="Z6" i="4"/>
  <c r="Z5" i="4"/>
  <c r="Z4" i="4"/>
  <c r="Z3" i="4"/>
  <c r="W11" i="4"/>
  <c r="W10" i="4"/>
  <c r="W9" i="4"/>
  <c r="W8" i="4"/>
  <c r="W7" i="4"/>
  <c r="W6" i="4"/>
  <c r="W5" i="4"/>
  <c r="W4" i="4"/>
  <c r="W3" i="4"/>
  <c r="Y3" i="4" a="1"/>
  <c r="Y3" i="4" s="1"/>
  <c r="V3" i="4" a="1"/>
  <c r="V3" i="4" s="1"/>
  <c r="K104" i="3"/>
  <c r="J104" i="3"/>
  <c r="Z19" i="3"/>
  <c r="Y19" i="3"/>
  <c r="W9" i="3"/>
  <c r="V9" i="3"/>
  <c r="Z18" i="3"/>
  <c r="Z17" i="3"/>
  <c r="Z16" i="3"/>
  <c r="Z15" i="3"/>
  <c r="Z14" i="3"/>
  <c r="Z13" i="3"/>
  <c r="Z12" i="3"/>
  <c r="Z11" i="3"/>
  <c r="Z10" i="3"/>
  <c r="Z9" i="3"/>
  <c r="Z8" i="3"/>
  <c r="Z7" i="3"/>
  <c r="Z6" i="3"/>
  <c r="Z5" i="3"/>
  <c r="Z4" i="3"/>
  <c r="Z3" i="3"/>
  <c r="Y3" i="3" a="1"/>
  <c r="Y3" i="3" s="1"/>
  <c r="W8" i="3"/>
  <c r="W7" i="3"/>
  <c r="W6" i="3"/>
  <c r="W5" i="3"/>
  <c r="W4" i="3"/>
  <c r="W3" i="3"/>
  <c r="V3" i="3" a="1"/>
  <c r="V3" i="3" s="1"/>
  <c r="K55" i="2"/>
  <c r="J55" i="2"/>
  <c r="AB19" i="1"/>
  <c r="C5" i="9" l="1"/>
  <c r="C4" i="9"/>
  <c r="C3" i="9"/>
  <c r="C18" i="9"/>
  <c r="C2" i="9"/>
  <c r="C17" i="9"/>
  <c r="C20" i="9"/>
  <c r="C16" i="9"/>
  <c r="C15" i="9"/>
  <c r="C14" i="9"/>
  <c r="C13" i="9"/>
  <c r="C12" i="9"/>
  <c r="C11" i="9"/>
  <c r="C10" i="9"/>
  <c r="C9" i="9"/>
  <c r="C7" i="9"/>
  <c r="C8" i="9"/>
  <c r="C6" i="9"/>
  <c r="J5" i="9"/>
  <c r="J8" i="9"/>
  <c r="J2" i="9"/>
  <c r="J18" i="9"/>
  <c r="J17" i="9"/>
  <c r="J20" i="9"/>
  <c r="J16" i="9"/>
  <c r="J15" i="9"/>
  <c r="J14" i="9"/>
  <c r="J13" i="9"/>
  <c r="J12" i="9"/>
  <c r="J7" i="9"/>
  <c r="J11" i="9"/>
  <c r="J10" i="9"/>
  <c r="J9" i="9"/>
  <c r="J6" i="9"/>
  <c r="J4" i="9"/>
  <c r="J3" i="9"/>
  <c r="N17" i="7"/>
  <c r="O17" i="7" s="1"/>
  <c r="N6" i="7"/>
  <c r="O6" i="7" s="1"/>
  <c r="G2" i="7"/>
  <c r="N2" i="7"/>
  <c r="O2" i="7" s="1"/>
  <c r="AL9" i="7"/>
  <c r="AM9" i="7" s="1"/>
  <c r="AL13" i="7"/>
  <c r="AM13" i="7" s="1"/>
  <c r="AL4" i="7"/>
  <c r="AL20" i="7"/>
  <c r="AM20" i="7" s="1"/>
  <c r="AL10" i="7"/>
  <c r="AM10" i="7" s="1"/>
  <c r="AG12" i="7"/>
  <c r="AH12" i="7" s="1"/>
  <c r="AL11" i="7"/>
  <c r="AM11" i="7" s="1"/>
  <c r="AL12" i="7"/>
  <c r="AM12" i="7" s="1"/>
  <c r="AL15" i="7"/>
  <c r="AM15" i="7" s="1"/>
  <c r="AL16" i="7"/>
  <c r="AM16" i="7" s="1"/>
  <c r="AL17" i="7"/>
  <c r="AM17" i="7" s="1"/>
  <c r="AL18" i="7"/>
  <c r="AM18" i="7" s="1"/>
  <c r="AL19" i="7"/>
  <c r="AM19" i="7" s="1"/>
  <c r="AL5" i="7"/>
  <c r="AM5" i="7" s="1"/>
  <c r="AL21" i="7"/>
  <c r="AM21" i="7" s="1"/>
  <c r="AL6" i="7"/>
  <c r="AM6" i="7" s="1"/>
  <c r="AL7" i="7"/>
  <c r="AM7" i="7" s="1"/>
  <c r="AL14" i="7"/>
  <c r="AM14" i="7" s="1"/>
  <c r="AL8" i="7"/>
  <c r="AM8" i="7" s="1"/>
  <c r="AG13" i="7"/>
  <c r="AH13" i="7" s="1"/>
  <c r="AG14" i="7"/>
  <c r="AH14" i="7" s="1"/>
  <c r="AG15" i="7"/>
  <c r="AH15" i="7" s="1"/>
  <c r="AG16" i="7"/>
  <c r="AH16" i="7" s="1"/>
  <c r="AG17" i="7"/>
  <c r="AH17" i="7" s="1"/>
  <c r="AG18" i="7"/>
  <c r="AH18" i="7" s="1"/>
  <c r="AG3" i="7"/>
  <c r="AG19" i="7"/>
  <c r="AH19" i="7" s="1"/>
  <c r="N18" i="7"/>
  <c r="O18" i="7" s="1"/>
  <c r="AG4" i="7"/>
  <c r="AH4" i="7" s="1"/>
  <c r="AG20" i="7"/>
  <c r="AH20" i="7" s="1"/>
  <c r="AG5" i="7"/>
  <c r="AH5" i="7" s="1"/>
  <c r="AG21" i="7"/>
  <c r="AH21" i="7" s="1"/>
  <c r="AG6" i="7"/>
  <c r="AH6" i="7" s="1"/>
  <c r="AG22" i="7"/>
  <c r="AH22" i="7" s="1"/>
  <c r="AG7" i="7"/>
  <c r="AH7" i="7" s="1"/>
  <c r="AG23" i="7"/>
  <c r="AH23" i="7" s="1"/>
  <c r="AG8" i="7"/>
  <c r="AH8" i="7" s="1"/>
  <c r="AG24" i="7"/>
  <c r="AH24" i="7" s="1"/>
  <c r="AG9" i="7"/>
  <c r="AH9" i="7" s="1"/>
  <c r="AG25" i="7"/>
  <c r="AH25" i="7" s="1"/>
  <c r="AG10" i="7"/>
  <c r="AH10" i="7" s="1"/>
  <c r="AG26" i="7"/>
  <c r="AH26" i="7" s="1"/>
  <c r="N3" i="7"/>
  <c r="G4" i="7"/>
  <c r="H4" i="7" s="1"/>
  <c r="N4" i="7"/>
  <c r="O4" i="7" s="1"/>
  <c r="N19" i="7"/>
  <c r="O19" i="7" s="1"/>
  <c r="G10" i="7"/>
  <c r="H10" i="7" s="1"/>
  <c r="N5" i="7"/>
  <c r="O5" i="7" s="1"/>
  <c r="N8" i="7"/>
  <c r="O8" i="7" s="1"/>
  <c r="AB6" i="7"/>
  <c r="AB9" i="7" s="1"/>
  <c r="N7" i="7"/>
  <c r="O7" i="7" s="1"/>
  <c r="N40" i="7"/>
  <c r="O40" i="7" s="1"/>
  <c r="N9" i="7"/>
  <c r="O9" i="7" s="1"/>
  <c r="N43" i="7"/>
  <c r="O43" i="7" s="1"/>
  <c r="N10" i="7"/>
  <c r="O10" i="7" s="1"/>
  <c r="N59" i="7"/>
  <c r="O59" i="7" s="1"/>
  <c r="N11" i="7"/>
  <c r="O11" i="7" s="1"/>
  <c r="N62" i="7"/>
  <c r="O62" i="7" s="1"/>
  <c r="N12" i="7"/>
  <c r="O12" i="7" s="1"/>
  <c r="N75" i="7"/>
  <c r="O75" i="7" s="1"/>
  <c r="N13" i="7"/>
  <c r="O13" i="7" s="1"/>
  <c r="N14" i="7"/>
  <c r="O14" i="7" s="1"/>
  <c r="N92" i="7"/>
  <c r="O92" i="7" s="1"/>
  <c r="N15" i="7"/>
  <c r="O15" i="7" s="1"/>
  <c r="N78" i="7"/>
  <c r="O78" i="7" s="1"/>
  <c r="N95" i="7"/>
  <c r="O95" i="7" s="1"/>
  <c r="S35" i="7"/>
  <c r="R35" i="7"/>
  <c r="G44" i="7"/>
  <c r="H44" i="7" s="1"/>
  <c r="G60" i="7"/>
  <c r="H60" i="7" s="1"/>
  <c r="G90" i="7"/>
  <c r="H90" i="7" s="1"/>
  <c r="N41" i="7"/>
  <c r="O41" i="7" s="1"/>
  <c r="N60" i="7"/>
  <c r="O60" i="7" s="1"/>
  <c r="N76" i="7"/>
  <c r="O76" i="7" s="1"/>
  <c r="N93" i="7"/>
  <c r="O93" i="7" s="1"/>
  <c r="G11" i="7"/>
  <c r="H11" i="7" s="1"/>
  <c r="N42" i="7"/>
  <c r="O42" i="7" s="1"/>
  <c r="N61" i="7"/>
  <c r="O61" i="7" s="1"/>
  <c r="N77" i="7"/>
  <c r="O77" i="7" s="1"/>
  <c r="N94" i="7"/>
  <c r="O94" i="7" s="1"/>
  <c r="G12" i="7"/>
  <c r="H12" i="7" s="1"/>
  <c r="G13" i="7"/>
  <c r="H13" i="7" s="1"/>
  <c r="G29" i="7"/>
  <c r="G46" i="7"/>
  <c r="H46" i="7" s="1"/>
  <c r="G31" i="7"/>
  <c r="H31" i="7" s="1"/>
  <c r="G47" i="7"/>
  <c r="H47" i="7" s="1"/>
  <c r="G63" i="7"/>
  <c r="H63" i="7" s="1"/>
  <c r="G93" i="7"/>
  <c r="H93" i="7" s="1"/>
  <c r="N44" i="7"/>
  <c r="O44" i="7" s="1"/>
  <c r="N63" i="7"/>
  <c r="O63" i="7" s="1"/>
  <c r="N79" i="7"/>
  <c r="O79" i="7" s="1"/>
  <c r="G14" i="7"/>
  <c r="H14" i="7" s="1"/>
  <c r="G32" i="7"/>
  <c r="H32" i="7" s="1"/>
  <c r="G48" i="7"/>
  <c r="H48" i="7" s="1"/>
  <c r="G64" i="7"/>
  <c r="H64" i="7" s="1"/>
  <c r="G94" i="7"/>
  <c r="H94" i="7" s="1"/>
  <c r="N29" i="7"/>
  <c r="N45" i="7"/>
  <c r="O45" i="7" s="1"/>
  <c r="N64" i="7"/>
  <c r="O64" i="7" s="1"/>
  <c r="N80" i="7"/>
  <c r="O80" i="7" s="1"/>
  <c r="G15" i="7"/>
  <c r="H15" i="7" s="1"/>
  <c r="G95" i="7"/>
  <c r="H95" i="7" s="1"/>
  <c r="N65" i="7"/>
  <c r="O65" i="7" s="1"/>
  <c r="G16" i="7"/>
  <c r="H16" i="7" s="1"/>
  <c r="N81" i="7"/>
  <c r="O81" i="7" s="1"/>
  <c r="G50" i="7"/>
  <c r="H50" i="7" s="1"/>
  <c r="G96" i="7"/>
  <c r="H96" i="7" s="1"/>
  <c r="N31" i="7"/>
  <c r="O31" i="7" s="1"/>
  <c r="N47" i="7"/>
  <c r="O47" i="7" s="1"/>
  <c r="N66" i="7"/>
  <c r="O66" i="7" s="1"/>
  <c r="N82" i="7"/>
  <c r="O82" i="7" s="1"/>
  <c r="G17" i="7"/>
  <c r="H17" i="7" s="1"/>
  <c r="G92" i="7"/>
  <c r="H92" i="7" s="1"/>
  <c r="G33" i="7"/>
  <c r="H33" i="7" s="1"/>
  <c r="G65" i="7"/>
  <c r="H65" i="7" s="1"/>
  <c r="N30" i="7"/>
  <c r="O30" i="7" s="1"/>
  <c r="G34" i="7"/>
  <c r="H34" i="7" s="1"/>
  <c r="G35" i="7"/>
  <c r="H35" i="7" s="1"/>
  <c r="G51" i="7"/>
  <c r="H51" i="7" s="1"/>
  <c r="G81" i="7"/>
  <c r="H81" i="7" s="1"/>
  <c r="G97" i="7"/>
  <c r="H97" i="7" s="1"/>
  <c r="N32" i="7"/>
  <c r="O32" i="7" s="1"/>
  <c r="N48" i="7"/>
  <c r="O48" i="7" s="1"/>
  <c r="N67" i="7"/>
  <c r="O67" i="7" s="1"/>
  <c r="N83" i="7"/>
  <c r="O83" i="7" s="1"/>
  <c r="G18" i="7"/>
  <c r="H18" i="7" s="1"/>
  <c r="G61" i="7"/>
  <c r="H61" i="7" s="1"/>
  <c r="G49" i="7"/>
  <c r="H49" i="7" s="1"/>
  <c r="N46" i="7"/>
  <c r="O46" i="7" s="1"/>
  <c r="G66" i="7"/>
  <c r="H66" i="7" s="1"/>
  <c r="G36" i="7"/>
  <c r="H36" i="7" s="1"/>
  <c r="G52" i="7"/>
  <c r="H52" i="7" s="1"/>
  <c r="G82" i="7"/>
  <c r="H82" i="7" s="1"/>
  <c r="G98" i="7"/>
  <c r="H98" i="7" s="1"/>
  <c r="N33" i="7"/>
  <c r="O33" i="7" s="1"/>
  <c r="N52" i="7"/>
  <c r="O52" i="7" s="1"/>
  <c r="N68" i="7"/>
  <c r="O68" i="7" s="1"/>
  <c r="N85" i="7"/>
  <c r="O85" i="7" s="1"/>
  <c r="G3" i="7"/>
  <c r="H3" i="7" s="1"/>
  <c r="G19" i="7"/>
  <c r="H19" i="7" s="1"/>
  <c r="G20" i="7"/>
  <c r="H20" i="7" s="1"/>
  <c r="G43" i="7"/>
  <c r="H43" i="7" s="1"/>
  <c r="G83" i="7"/>
  <c r="H83" i="7" s="1"/>
  <c r="G38" i="7"/>
  <c r="H38" i="7" s="1"/>
  <c r="G54" i="7"/>
  <c r="H54" i="7" s="1"/>
  <c r="G84" i="7"/>
  <c r="H84" i="7" s="1"/>
  <c r="N35" i="7"/>
  <c r="O35" i="7" s="1"/>
  <c r="N54" i="7"/>
  <c r="O54" i="7" s="1"/>
  <c r="N70" i="7"/>
  <c r="O70" i="7" s="1"/>
  <c r="N87" i="7"/>
  <c r="O87" i="7" s="1"/>
  <c r="G5" i="7"/>
  <c r="H5" i="7" s="1"/>
  <c r="G21" i="7"/>
  <c r="H21" i="7" s="1"/>
  <c r="G59" i="7"/>
  <c r="H59" i="7" s="1"/>
  <c r="N53" i="7"/>
  <c r="O53" i="7" s="1"/>
  <c r="G39" i="7"/>
  <c r="H39" i="7" s="1"/>
  <c r="G55" i="7"/>
  <c r="H55" i="7" s="1"/>
  <c r="G85" i="7"/>
  <c r="H85" i="7" s="1"/>
  <c r="N36" i="7"/>
  <c r="O36" i="7" s="1"/>
  <c r="N55" i="7"/>
  <c r="O55" i="7" s="1"/>
  <c r="N71" i="7"/>
  <c r="O71" i="7" s="1"/>
  <c r="N88" i="7"/>
  <c r="O88" i="7" s="1"/>
  <c r="G6" i="7"/>
  <c r="H6" i="7" s="1"/>
  <c r="G22" i="7"/>
  <c r="H22" i="7" s="1"/>
  <c r="G86" i="7"/>
  <c r="H86" i="7" s="1"/>
  <c r="N37" i="7"/>
  <c r="O37" i="7" s="1"/>
  <c r="N56" i="7"/>
  <c r="O56" i="7" s="1"/>
  <c r="N72" i="7"/>
  <c r="O72" i="7" s="1"/>
  <c r="N89" i="7"/>
  <c r="O89" i="7" s="1"/>
  <c r="G7" i="7"/>
  <c r="H7" i="7" s="1"/>
  <c r="G23" i="7"/>
  <c r="H23" i="7" s="1"/>
  <c r="G91" i="7"/>
  <c r="H91" i="7" s="1"/>
  <c r="G30" i="7"/>
  <c r="H30" i="7" s="1"/>
  <c r="G37" i="7"/>
  <c r="H37" i="7" s="1"/>
  <c r="N86" i="7"/>
  <c r="O86" i="7" s="1"/>
  <c r="G56" i="7"/>
  <c r="H56" i="7" s="1"/>
  <c r="G41" i="7"/>
  <c r="H41" i="7" s="1"/>
  <c r="G57" i="7"/>
  <c r="H57" i="7" s="1"/>
  <c r="G87" i="7"/>
  <c r="H87" i="7" s="1"/>
  <c r="N38" i="7"/>
  <c r="O38" i="7" s="1"/>
  <c r="N57" i="7"/>
  <c r="O57" i="7" s="1"/>
  <c r="N73" i="7"/>
  <c r="O73" i="7" s="1"/>
  <c r="N90" i="7"/>
  <c r="O90" i="7" s="1"/>
  <c r="G8" i="7"/>
  <c r="H8" i="7" s="1"/>
  <c r="G24" i="7"/>
  <c r="H24" i="7" s="1"/>
  <c r="G89" i="7"/>
  <c r="H89" i="7" s="1"/>
  <c r="G45" i="7"/>
  <c r="H45" i="7" s="1"/>
  <c r="G62" i="7"/>
  <c r="H62" i="7" s="1"/>
  <c r="G53" i="7"/>
  <c r="H53" i="7" s="1"/>
  <c r="N34" i="7"/>
  <c r="O34" i="7" s="1"/>
  <c r="N69" i="7"/>
  <c r="O69" i="7" s="1"/>
  <c r="G40" i="7"/>
  <c r="H40" i="7" s="1"/>
  <c r="G42" i="7"/>
  <c r="H42" i="7" s="1"/>
  <c r="G58" i="7"/>
  <c r="H58" i="7" s="1"/>
  <c r="N39" i="7"/>
  <c r="O39" i="7" s="1"/>
  <c r="N58" i="7"/>
  <c r="O58" i="7" s="1"/>
  <c r="N74" i="7"/>
  <c r="O74" i="7" s="1"/>
  <c r="G9" i="7"/>
  <c r="H9" i="7" s="1"/>
  <c r="AB9" i="1"/>
  <c r="X10" i="1"/>
  <c r="AA6" i="1"/>
  <c r="X15" i="1"/>
  <c r="AB13" i="1"/>
  <c r="AA16" i="1"/>
  <c r="X23" i="1"/>
  <c r="X7" i="1"/>
  <c r="AB7" i="1"/>
  <c r="AA15" i="1"/>
  <c r="X13" i="1"/>
  <c r="AA17" i="1"/>
  <c r="AB8" i="1"/>
  <c r="X3" i="1"/>
  <c r="X4" i="1"/>
  <c r="AB4" i="1"/>
  <c r="AA20" i="1"/>
  <c r="AA19" i="1"/>
  <c r="AC19" i="1" s="1"/>
  <c r="AA14" i="1"/>
  <c r="X12" i="1"/>
  <c r="X8" i="1"/>
  <c r="AB15" i="1"/>
  <c r="AA12" i="1"/>
  <c r="X22" i="1"/>
  <c r="X17" i="1"/>
  <c r="AB10" i="1"/>
  <c r="X26" i="1"/>
  <c r="AB17" i="1"/>
  <c r="AA4" i="1"/>
  <c r="AA18" i="1"/>
  <c r="X16" i="1"/>
  <c r="X14" i="1"/>
  <c r="AB6" i="1"/>
  <c r="AA10" i="1"/>
  <c r="Z21" i="1"/>
  <c r="AA3" i="1"/>
  <c r="X21" i="1"/>
  <c r="X18" i="1"/>
  <c r="AB16" i="1"/>
  <c r="AA9" i="1"/>
  <c r="X19" i="1"/>
  <c r="AB20" i="1"/>
  <c r="AB14" i="1"/>
  <c r="AA5" i="1"/>
  <c r="X24" i="1"/>
  <c r="AA8" i="1"/>
  <c r="X25" i="1"/>
  <c r="AA13" i="1"/>
  <c r="X6" i="1"/>
  <c r="AB11" i="1"/>
  <c r="AC11" i="1" s="1"/>
  <c r="AB12" i="1"/>
  <c r="AC12" i="1" s="1"/>
  <c r="AA7" i="1"/>
  <c r="X11" i="1"/>
  <c r="AB5" i="1"/>
  <c r="X9" i="1"/>
  <c r="AB18" i="1"/>
  <c r="AB3" i="1"/>
  <c r="AD14" i="6"/>
  <c r="AC14" i="6"/>
  <c r="Y17" i="6"/>
  <c r="W3" i="2"/>
  <c r="W26" i="2" s="1"/>
  <c r="X20" i="1"/>
  <c r="W19" i="1"/>
  <c r="W7" i="1"/>
  <c r="W4" i="1"/>
  <c r="W8" i="1"/>
  <c r="W26" i="1"/>
  <c r="W18" i="1"/>
  <c r="W25" i="1"/>
  <c r="W21" i="1"/>
  <c r="W14" i="1"/>
  <c r="W16" i="1"/>
  <c r="W24" i="1"/>
  <c r="W17" i="1"/>
  <c r="W22" i="1"/>
  <c r="W12" i="1"/>
  <c r="W3" i="1"/>
  <c r="W23" i="1"/>
  <c r="W15" i="1"/>
  <c r="W10" i="1"/>
  <c r="W13" i="1"/>
  <c r="W5" i="1"/>
  <c r="Y5" i="1" s="1"/>
  <c r="W9" i="1"/>
  <c r="W11" i="1"/>
  <c r="W6" i="1"/>
  <c r="Y19" i="1" l="1"/>
  <c r="Y21" i="1"/>
  <c r="Y12" i="1"/>
  <c r="Y10" i="1"/>
  <c r="Y14" i="1"/>
  <c r="Y9" i="1"/>
  <c r="Y3" i="1"/>
  <c r="Y6" i="1"/>
  <c r="Y24" i="1"/>
  <c r="Y4" i="1"/>
  <c r="Y16" i="1"/>
  <c r="Y26" i="1"/>
  <c r="Y13" i="1"/>
  <c r="Y25" i="1"/>
  <c r="Y17" i="1"/>
  <c r="Y22" i="1"/>
  <c r="Y7" i="1"/>
  <c r="Y23" i="1"/>
  <c r="Y18" i="1"/>
  <c r="Y11" i="1"/>
  <c r="Y8" i="1"/>
  <c r="Y15" i="1"/>
  <c r="AC4" i="1"/>
  <c r="AC8" i="1"/>
  <c r="AC9" i="1"/>
  <c r="AC14" i="1"/>
  <c r="AC6" i="1"/>
  <c r="AC3" i="1"/>
  <c r="AC7" i="1"/>
  <c r="AC10" i="1"/>
  <c r="AC18" i="1"/>
  <c r="AC16" i="1"/>
  <c r="AC17" i="1"/>
  <c r="AC5" i="1"/>
  <c r="AC20" i="1"/>
  <c r="AC15" i="1"/>
  <c r="AC13" i="1"/>
  <c r="J33" i="7"/>
  <c r="AM4" i="7"/>
  <c r="AN3" i="7"/>
  <c r="AN7" i="7" s="1"/>
  <c r="AN9" i="7"/>
  <c r="AN11" i="7" s="1"/>
  <c r="AI9" i="7"/>
  <c r="AI11" i="7" s="1"/>
  <c r="AH3" i="7"/>
  <c r="AI3" i="7"/>
  <c r="AI7" i="7" s="1"/>
  <c r="L35" i="7"/>
  <c r="K35" i="7"/>
  <c r="Q33" i="7"/>
  <c r="H2" i="7"/>
  <c r="J2" i="7" s="1"/>
  <c r="L2" i="7" s="1"/>
  <c r="Q2" i="7"/>
  <c r="S2" i="7" s="1"/>
  <c r="O3" i="7"/>
  <c r="H29" i="7"/>
  <c r="J29" i="7" s="1"/>
  <c r="L29" i="7" s="1"/>
  <c r="O29" i="7"/>
  <c r="Q29" i="7"/>
  <c r="S29" i="7" s="1"/>
  <c r="W20" i="1"/>
  <c r="W27" i="1" s="1"/>
  <c r="AB21" i="1"/>
  <c r="AA21" i="1"/>
  <c r="V27" i="1"/>
  <c r="Y20" i="1" l="1"/>
  <c r="Y27" i="1" s="1"/>
  <c r="AC21" i="1"/>
  <c r="S33" i="7"/>
  <c r="R33" i="7"/>
  <c r="L33" i="7"/>
  <c r="K33" i="7"/>
  <c r="X27" i="1"/>
  <c r="AB27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<sst xmlns="http://schemas.openxmlformats.org/spreadsheetml/2006/main" count="8643" uniqueCount="1536">
  <si>
    <t>eventID</t>
  </si>
  <si>
    <t>occurrenceID</t>
  </si>
  <si>
    <t>basisOfRecord</t>
  </si>
  <si>
    <t>eventDate</t>
  </si>
  <si>
    <t>kingdom</t>
  </si>
  <si>
    <t>Order</t>
  </si>
  <si>
    <t>scientificName</t>
  </si>
  <si>
    <t>Commonname</t>
  </si>
  <si>
    <t>taxonRank</t>
  </si>
  <si>
    <t>individualCount</t>
  </si>
  <si>
    <t>organismQuantity</t>
  </si>
  <si>
    <t>organismQuantityType</t>
  </si>
  <si>
    <t>occurrenceStatus</t>
  </si>
  <si>
    <t>Latitude</t>
  </si>
  <si>
    <t>Longitude</t>
  </si>
  <si>
    <t>Pollutionscore</t>
  </si>
  <si>
    <t>Endlatitude</t>
  </si>
  <si>
    <t>Endlongitude</t>
  </si>
  <si>
    <t>geodeticDatum</t>
  </si>
  <si>
    <t>countryCode</t>
  </si>
  <si>
    <t>N3P_A</t>
  </si>
  <si>
    <t>N3P_A1</t>
  </si>
  <si>
    <t>Humanobservation</t>
  </si>
  <si>
    <t>Plantae</t>
  </si>
  <si>
    <t>Polypodiales</t>
  </si>
  <si>
    <t>Pteridium_aquilinum</t>
  </si>
  <si>
    <t>Bracken</t>
  </si>
  <si>
    <t>Species</t>
  </si>
  <si>
    <t>Percentagecover</t>
  </si>
  <si>
    <t>Present</t>
  </si>
  <si>
    <t>N55  42.253</t>
  </si>
  <si>
    <t>W005 16.761</t>
  </si>
  <si>
    <t>WGS84</t>
  </si>
  <si>
    <t>SCO</t>
  </si>
  <si>
    <t>N3P_B</t>
  </si>
  <si>
    <t>N3P_B1</t>
  </si>
  <si>
    <t>Rosales</t>
  </si>
  <si>
    <t>Rubus_fruticosus_L.</t>
  </si>
  <si>
    <t>European_blackberry</t>
  </si>
  <si>
    <t>N55  42.231</t>
  </si>
  <si>
    <t>W005 16.724</t>
  </si>
  <si>
    <t>N3P_B2</t>
  </si>
  <si>
    <t>Poales</t>
  </si>
  <si>
    <t>Agrostis_capillaris</t>
  </si>
  <si>
    <t>Common_bent</t>
  </si>
  <si>
    <t>N3P_B3</t>
  </si>
  <si>
    <t>N3P_B4</t>
  </si>
  <si>
    <t>Gentianales</t>
  </si>
  <si>
    <t>Galium_mollugo</t>
  </si>
  <si>
    <t>Hedge_bedstraw</t>
  </si>
  <si>
    <t>N3P_C</t>
  </si>
  <si>
    <t>N3P_C1</t>
  </si>
  <si>
    <t>N55  42.205</t>
  </si>
  <si>
    <t>W005 16.686</t>
  </si>
  <si>
    <t>N3P_C2</t>
  </si>
  <si>
    <t>N3P_C3</t>
  </si>
  <si>
    <t>N3P_C4</t>
  </si>
  <si>
    <t>Hypnales</t>
  </si>
  <si>
    <t>Rhytidadelphus_triquetrus</t>
  </si>
  <si>
    <t>Big_shaggy-moss</t>
  </si>
  <si>
    <t>N3P_C5</t>
  </si>
  <si>
    <t>Lamiales</t>
  </si>
  <si>
    <t>Teucrium_scorodonia</t>
  </si>
  <si>
    <t>Wood_sage</t>
  </si>
  <si>
    <t>N3P_D</t>
  </si>
  <si>
    <t>N3P_D1</t>
  </si>
  <si>
    <t>Dipsacales</t>
  </si>
  <si>
    <t>Lonicera_periclymenum</t>
  </si>
  <si>
    <t>European_honeysuckle</t>
  </si>
  <si>
    <t>N55  42.182</t>
  </si>
  <si>
    <t>W005 16.640</t>
  </si>
  <si>
    <t>N3P_D2</t>
  </si>
  <si>
    <t>N3P_D3</t>
  </si>
  <si>
    <t>N3P_D4</t>
  </si>
  <si>
    <t>N3P_E</t>
  </si>
  <si>
    <t>N3P_E1</t>
  </si>
  <si>
    <t>N55  42.156</t>
  </si>
  <si>
    <t>W005 16.606</t>
  </si>
  <si>
    <t>N3P_E2</t>
  </si>
  <si>
    <t>N3P_F</t>
  </si>
  <si>
    <t>N3P_F1</t>
  </si>
  <si>
    <t>N55  42.134</t>
  </si>
  <si>
    <t>W005 16.563</t>
  </si>
  <si>
    <t>N3P_F2</t>
  </si>
  <si>
    <t>N3P_F3</t>
  </si>
  <si>
    <t>N3P_G</t>
  </si>
  <si>
    <t>N3P_G1</t>
  </si>
  <si>
    <t>N55  42.110</t>
  </si>
  <si>
    <t>W005 16.517</t>
  </si>
  <si>
    <t>N3P_G2</t>
  </si>
  <si>
    <t>N3P_G3</t>
  </si>
  <si>
    <t>N3P_H</t>
  </si>
  <si>
    <t>N3P_H1</t>
  </si>
  <si>
    <t>N55  42.080</t>
  </si>
  <si>
    <t>W005 16.471</t>
  </si>
  <si>
    <t>N3P_H2</t>
  </si>
  <si>
    <t>Ranunculales</t>
  </si>
  <si>
    <t>Ranunculus_repens</t>
  </si>
  <si>
    <t>Creeping_buttercup</t>
  </si>
  <si>
    <t>N3P_H3</t>
  </si>
  <si>
    <t>N3P_H4</t>
  </si>
  <si>
    <t>Potentilla_erecta</t>
  </si>
  <si>
    <t>Tormentil</t>
  </si>
  <si>
    <t>N3P_H5</t>
  </si>
  <si>
    <t>N3P_I</t>
  </si>
  <si>
    <t>N3P_I1</t>
  </si>
  <si>
    <t>N55  42.071</t>
  </si>
  <si>
    <t>W005 16.414</t>
  </si>
  <si>
    <t>N3P_I2</t>
  </si>
  <si>
    <t>N3P_J</t>
  </si>
  <si>
    <t>N3P_J1</t>
  </si>
  <si>
    <t>N55  42.056</t>
  </si>
  <si>
    <t>W005 16.365</t>
  </si>
  <si>
    <t>N3P_J2</t>
  </si>
  <si>
    <t>N3P_J3</t>
  </si>
  <si>
    <t>N3P_J4</t>
  </si>
  <si>
    <t>N3P_J5</t>
  </si>
  <si>
    <t>N3P_J6</t>
  </si>
  <si>
    <t>Fabales</t>
  </si>
  <si>
    <t>Ulex_europaeus</t>
  </si>
  <si>
    <t>Gorse</t>
  </si>
  <si>
    <t>N3P_J7</t>
  </si>
  <si>
    <t>N1P_A</t>
  </si>
  <si>
    <t>N1P_A1</t>
  </si>
  <si>
    <t>Ericales</t>
  </si>
  <si>
    <t>Calluna_vulgaris</t>
  </si>
  <si>
    <t>Common_heather</t>
  </si>
  <si>
    <t>N55  42.354</t>
  </si>
  <si>
    <t>W005 16.577</t>
  </si>
  <si>
    <t>N1P_A2</t>
  </si>
  <si>
    <t>Erica_cinerea</t>
  </si>
  <si>
    <t>Bell_heather</t>
  </si>
  <si>
    <t>N1P_A3</t>
  </si>
  <si>
    <t>N1P_A4</t>
  </si>
  <si>
    <t>N1P_B</t>
  </si>
  <si>
    <t>N1P_B1</t>
  </si>
  <si>
    <t>N55  42.342</t>
  </si>
  <si>
    <t>W005 16.557</t>
  </si>
  <si>
    <t>N1P_B2</t>
  </si>
  <si>
    <t>N1P_B3</t>
  </si>
  <si>
    <t>N1P_B4</t>
  </si>
  <si>
    <t>N1P_B5</t>
  </si>
  <si>
    <t>N1P_B6</t>
  </si>
  <si>
    <t>Dicranales</t>
  </si>
  <si>
    <t>Dicranum_scoparium</t>
  </si>
  <si>
    <t>Broom_fork-moss</t>
  </si>
  <si>
    <t>N1P_C</t>
  </si>
  <si>
    <t>N1P_C1</t>
  </si>
  <si>
    <t>N55  42.329</t>
  </si>
  <si>
    <t>W005 16.537</t>
  </si>
  <si>
    <t>N1P_C2</t>
  </si>
  <si>
    <t>N1P_C3</t>
  </si>
  <si>
    <t>N1P_C4</t>
  </si>
  <si>
    <t>N1P_C5</t>
  </si>
  <si>
    <t>N1P_D</t>
  </si>
  <si>
    <t>N1P_D1</t>
  </si>
  <si>
    <t>N55 42.318</t>
  </si>
  <si>
    <t>N1P_D2</t>
  </si>
  <si>
    <t>N1P_D3</t>
  </si>
  <si>
    <t>N1P_D4</t>
  </si>
  <si>
    <t>N1P_D5</t>
  </si>
  <si>
    <t>N1P_E</t>
  </si>
  <si>
    <t>N1P_E1</t>
  </si>
  <si>
    <t>N55 42.307</t>
  </si>
  <si>
    <t>W005 16.494</t>
  </si>
  <si>
    <t>N1P_E2</t>
  </si>
  <si>
    <t>N1P_E3</t>
  </si>
  <si>
    <t>Avenella_flexuosa</t>
  </si>
  <si>
    <t>Wavy_hair-grass</t>
  </si>
  <si>
    <t>N1P_E4</t>
  </si>
  <si>
    <t>N1P_E5</t>
  </si>
  <si>
    <t>Holcus_lanatus</t>
  </si>
  <si>
    <t>Yorshire_fog</t>
  </si>
  <si>
    <t>N1P_E6</t>
  </si>
  <si>
    <t>N1P_F</t>
  </si>
  <si>
    <t>N1P_F1</t>
  </si>
  <si>
    <t>Digitalis</t>
  </si>
  <si>
    <t>Digitalis_purpurea</t>
  </si>
  <si>
    <t>Common_foxglove</t>
  </si>
  <si>
    <t>N55 42.295</t>
  </si>
  <si>
    <t>N1P_F2</t>
  </si>
  <si>
    <t>N1P_F3</t>
  </si>
  <si>
    <t>N1P_F4</t>
  </si>
  <si>
    <t>N1P_F5</t>
  </si>
  <si>
    <t>N1P_F6</t>
  </si>
  <si>
    <t>N1P_F7</t>
  </si>
  <si>
    <t>N1P_F8</t>
  </si>
  <si>
    <t>N1P_F9</t>
  </si>
  <si>
    <t>N1P_G</t>
  </si>
  <si>
    <t>N1P_G1</t>
  </si>
  <si>
    <t>N55 42.281</t>
  </si>
  <si>
    <t>W005 16.451</t>
  </si>
  <si>
    <t>N1P_G2</t>
  </si>
  <si>
    <t>N1P_G3</t>
  </si>
  <si>
    <t>N1P_G4</t>
  </si>
  <si>
    <t>N1P_G5</t>
  </si>
  <si>
    <t>N1P_G6</t>
  </si>
  <si>
    <t>N1P_H</t>
  </si>
  <si>
    <t>N1P_H1</t>
  </si>
  <si>
    <t>N55 42.268</t>
  </si>
  <si>
    <t>W005 16.434</t>
  </si>
  <si>
    <t>N1P_H2</t>
  </si>
  <si>
    <t>N1P_H3</t>
  </si>
  <si>
    <t>Juncus_effusus</t>
  </si>
  <si>
    <t>Soft_rush</t>
  </si>
  <si>
    <t>N1P_H4</t>
  </si>
  <si>
    <t>N1P_H5</t>
  </si>
  <si>
    <t>N1P_H6</t>
  </si>
  <si>
    <t>N1P_I</t>
  </si>
  <si>
    <t>N1P_I1</t>
  </si>
  <si>
    <t>N55 42.255</t>
  </si>
  <si>
    <t>N1P_I2</t>
  </si>
  <si>
    <t>N1P_I3</t>
  </si>
  <si>
    <t>N1P_I4</t>
  </si>
  <si>
    <t>N1P_J</t>
  </si>
  <si>
    <t>N1P_J1</t>
  </si>
  <si>
    <t>N55 42.242</t>
  </si>
  <si>
    <t>W005 16.396</t>
  </si>
  <si>
    <t>N1P_J2</t>
  </si>
  <si>
    <t>N1P_J3</t>
  </si>
  <si>
    <t>N1P_J4</t>
  </si>
  <si>
    <t>N2P_J</t>
  </si>
  <si>
    <t>N2P_J1</t>
  </si>
  <si>
    <t>N55 42.143</t>
  </si>
  <si>
    <t>W005 16.419</t>
  </si>
  <si>
    <t>N2P_J2</t>
  </si>
  <si>
    <t>N2P_J3</t>
  </si>
  <si>
    <t>Caryophyllales</t>
  </si>
  <si>
    <t>Little_mouse-ear_chickweed</t>
  </si>
  <si>
    <t>N2P_J4</t>
  </si>
  <si>
    <t>N2P_J5</t>
  </si>
  <si>
    <t>Anthoxanthum_odoratum</t>
  </si>
  <si>
    <t>Sweet_vernal_grass</t>
  </si>
  <si>
    <t>N2P_I</t>
  </si>
  <si>
    <t>N2P_I1</t>
  </si>
  <si>
    <t>N55 42.161</t>
  </si>
  <si>
    <t>W005 16.431</t>
  </si>
  <si>
    <t>N2P_I2</t>
  </si>
  <si>
    <t>N2P_I3</t>
  </si>
  <si>
    <t>N2P_I4</t>
  </si>
  <si>
    <t>N2P_H</t>
  </si>
  <si>
    <t>N2P_H1</t>
  </si>
  <si>
    <t>N55 42.176</t>
  </si>
  <si>
    <t>W005 16.448</t>
  </si>
  <si>
    <t>N2P_H2</t>
  </si>
  <si>
    <t>N2P_H3</t>
  </si>
  <si>
    <t>N2P_H4</t>
  </si>
  <si>
    <t>N2P_H5</t>
  </si>
  <si>
    <t>N2P_G</t>
  </si>
  <si>
    <t>N2P_G1</t>
  </si>
  <si>
    <t>N55 42.185</t>
  </si>
  <si>
    <t>W005 16.468</t>
  </si>
  <si>
    <t>N2P_G2</t>
  </si>
  <si>
    <t>N2P_G3</t>
  </si>
  <si>
    <t>N2P_G4</t>
  </si>
  <si>
    <t>N2P_F</t>
  </si>
  <si>
    <t>N2P_F1</t>
  </si>
  <si>
    <t>N55 42.198</t>
  </si>
  <si>
    <t>W005 16.488</t>
  </si>
  <si>
    <t>N2P_F2</t>
  </si>
  <si>
    <t>N2P_F3</t>
  </si>
  <si>
    <t>Deschampsia_cespitosa</t>
  </si>
  <si>
    <t>Tufted_hair_grass</t>
  </si>
  <si>
    <t>N2P_E</t>
  </si>
  <si>
    <t>N2P_E1</t>
  </si>
  <si>
    <t>Yellow_pimpernel</t>
  </si>
  <si>
    <t>N55 42.207</t>
  </si>
  <si>
    <t>W005 16.514</t>
  </si>
  <si>
    <t>N2P_E2</t>
  </si>
  <si>
    <t>N2P_E3</t>
  </si>
  <si>
    <t>N2P_E4</t>
  </si>
  <si>
    <t>Malpighiales</t>
  </si>
  <si>
    <t>Viola_palustris</t>
  </si>
  <si>
    <t>Marsh_violet</t>
  </si>
  <si>
    <t>N2P_E5</t>
  </si>
  <si>
    <t>N2P_D</t>
  </si>
  <si>
    <t>N2P_D1</t>
  </si>
  <si>
    <t>N55 42.219</t>
  </si>
  <si>
    <t>W005 16.534</t>
  </si>
  <si>
    <t>N2P_D2</t>
  </si>
  <si>
    <t>N2P_D3</t>
  </si>
  <si>
    <t>N2P_D4</t>
  </si>
  <si>
    <t>N2P_D5</t>
  </si>
  <si>
    <t>N2P_C</t>
  </si>
  <si>
    <t>N2P_C1</t>
  </si>
  <si>
    <t>N55 42.231</t>
  </si>
  <si>
    <t>W005 16.551</t>
  </si>
  <si>
    <t>N2P_C2</t>
  </si>
  <si>
    <t>N2P_C3</t>
  </si>
  <si>
    <t>N2P_C4</t>
  </si>
  <si>
    <t>N2P_B</t>
  </si>
  <si>
    <t>N2P_B1</t>
  </si>
  <si>
    <t>Hypericum_perforatum</t>
  </si>
  <si>
    <t>St._johns_wort</t>
  </si>
  <si>
    <t>N2P_B2</t>
  </si>
  <si>
    <t>N2P_B3</t>
  </si>
  <si>
    <t>N2P_B4</t>
  </si>
  <si>
    <t>N2P_A</t>
  </si>
  <si>
    <t>N20_A1</t>
  </si>
  <si>
    <t>N55 42.257</t>
  </si>
  <si>
    <t>W005 16.594</t>
  </si>
  <si>
    <t>N20_A2</t>
  </si>
  <si>
    <t>N20_A3</t>
  </si>
  <si>
    <t>N20_A4</t>
  </si>
  <si>
    <t>N20_A5</t>
  </si>
  <si>
    <t>N20_A6</t>
  </si>
  <si>
    <t>Oxalidales</t>
  </si>
  <si>
    <t>Oxalis</t>
  </si>
  <si>
    <t>Wood_sorrel</t>
  </si>
  <si>
    <t>Genus</t>
  </si>
  <si>
    <t>N20_A7</t>
  </si>
  <si>
    <t>S3P_A</t>
  </si>
  <si>
    <t>S3P_A1</t>
  </si>
  <si>
    <t>Urtica_dioica</t>
  </si>
  <si>
    <t>Common_nettle</t>
  </si>
  <si>
    <t>N55  42.027</t>
  </si>
  <si>
    <t>W005  17.134</t>
  </si>
  <si>
    <t>S3P_A2</t>
  </si>
  <si>
    <t>Nardus_stricta</t>
  </si>
  <si>
    <t>Mat_grass</t>
  </si>
  <si>
    <t>S3P_A3</t>
  </si>
  <si>
    <t>Tufted_hairgrass</t>
  </si>
  <si>
    <t>S3P_B</t>
  </si>
  <si>
    <t>S3P_B1</t>
  </si>
  <si>
    <t>Trifolium_repens</t>
  </si>
  <si>
    <t>White_clover</t>
  </si>
  <si>
    <t>N55  42.003</t>
  </si>
  <si>
    <t>W005  17.094</t>
  </si>
  <si>
    <t>S3P_B2</t>
  </si>
  <si>
    <t>S3P_B3</t>
  </si>
  <si>
    <t>S3P_C</t>
  </si>
  <si>
    <t>S3P_C1</t>
  </si>
  <si>
    <t>N55  41.979</t>
  </si>
  <si>
    <t>W005  17.065</t>
  </si>
  <si>
    <t>S3P_C2</t>
  </si>
  <si>
    <t>S3P_C3</t>
  </si>
  <si>
    <t>S3P_D</t>
  </si>
  <si>
    <t>S3P_D1</t>
  </si>
  <si>
    <t>Juncus_inflexus</t>
  </si>
  <si>
    <t>Hard_rush</t>
  </si>
  <si>
    <t>N55  41.949</t>
  </si>
  <si>
    <t>W005  17.042</t>
  </si>
  <si>
    <t>S3P_D2</t>
  </si>
  <si>
    <t>S3P_E</t>
  </si>
  <si>
    <t>S3P_E1</t>
  </si>
  <si>
    <t>N55  41.922</t>
  </si>
  <si>
    <t>W005  17.005</t>
  </si>
  <si>
    <t>S3P_E2</t>
  </si>
  <si>
    <t>S3P_F</t>
  </si>
  <si>
    <t>S3P_F1</t>
  </si>
  <si>
    <t>N55  41.902</t>
  </si>
  <si>
    <t>W005  16.956</t>
  </si>
  <si>
    <t>S3P_F2</t>
  </si>
  <si>
    <t>S3P_F3</t>
  </si>
  <si>
    <t>S3P_F4</t>
  </si>
  <si>
    <t>Yorkshire_fog</t>
  </si>
  <si>
    <t>S3P_G</t>
  </si>
  <si>
    <t>S3P_G1</t>
  </si>
  <si>
    <t>Carex</t>
  </si>
  <si>
    <t>Sedge</t>
  </si>
  <si>
    <t>N55  41.907</t>
  </si>
  <si>
    <t>W005  16.884</t>
  </si>
  <si>
    <t>S3P_G2</t>
  </si>
  <si>
    <t>S3P_G3</t>
  </si>
  <si>
    <t>S3P_H</t>
  </si>
  <si>
    <t>S3P_H1</t>
  </si>
  <si>
    <t>N55  41.862</t>
  </si>
  <si>
    <t>W005  16.861</t>
  </si>
  <si>
    <t>S3P_H2</t>
  </si>
  <si>
    <t>S3P_H3</t>
  </si>
  <si>
    <t>S3P_I</t>
  </si>
  <si>
    <t>S3P_I1</t>
  </si>
  <si>
    <t>N55  41.843</t>
  </si>
  <si>
    <t>W005  16.821</t>
  </si>
  <si>
    <t>S3P_I2</t>
  </si>
  <si>
    <t>S3P_J</t>
  </si>
  <si>
    <t>S3P_J1</t>
  </si>
  <si>
    <t>Fagales</t>
  </si>
  <si>
    <t>Myrica_gale</t>
  </si>
  <si>
    <t>Bog_myrtle</t>
  </si>
  <si>
    <t>N55  41.828</t>
  </si>
  <si>
    <t>W005  16.810</t>
  </si>
  <si>
    <t>S3P_J2</t>
  </si>
  <si>
    <t>Sphagnales</t>
  </si>
  <si>
    <t>Sphagnum</t>
  </si>
  <si>
    <t>Sphagnum_moss</t>
  </si>
  <si>
    <t>S3P_J3</t>
  </si>
  <si>
    <t>S3P_J4</t>
  </si>
  <si>
    <t>S1P_A</t>
  </si>
  <si>
    <t>S1P_A1</t>
  </si>
  <si>
    <t>N55  41.870</t>
  </si>
  <si>
    <t>W005  17.278</t>
  </si>
  <si>
    <t>S1P_A2</t>
  </si>
  <si>
    <t>S1P_A3</t>
  </si>
  <si>
    <t>Galium_saxatile</t>
  </si>
  <si>
    <t>Heath_bedstraw</t>
  </si>
  <si>
    <t>S1P_A4</t>
  </si>
  <si>
    <t>S1P_B</t>
  </si>
  <si>
    <t>S1P_B1</t>
  </si>
  <si>
    <t>N55  41.857</t>
  </si>
  <si>
    <t>W005  17.272</t>
  </si>
  <si>
    <t>S1P_B2</t>
  </si>
  <si>
    <t>S1P_C</t>
  </si>
  <si>
    <t>S1P_C1</t>
  </si>
  <si>
    <t>N55  41.839</t>
  </si>
  <si>
    <t>W005  17.280</t>
  </si>
  <si>
    <t>S1P_C2</t>
  </si>
  <si>
    <t>S1P_C3</t>
  </si>
  <si>
    <t>Rhytidiadelphus_triquetrus</t>
  </si>
  <si>
    <t>S1P_D</t>
  </si>
  <si>
    <t>S1P_D1</t>
  </si>
  <si>
    <t>N55  41.825</t>
  </si>
  <si>
    <t>W005  17.275</t>
  </si>
  <si>
    <t>S1P_D2</t>
  </si>
  <si>
    <t>S1P_D3</t>
  </si>
  <si>
    <t>S1P_E</t>
  </si>
  <si>
    <t>S1P_E1</t>
  </si>
  <si>
    <t>N55  41.809</t>
  </si>
  <si>
    <t>W005  17.269</t>
  </si>
  <si>
    <t>S1P_E2</t>
  </si>
  <si>
    <t>S1P_E3</t>
  </si>
  <si>
    <t>S1P_F</t>
  </si>
  <si>
    <t>S1P_F1</t>
  </si>
  <si>
    <t>N55  41.793</t>
  </si>
  <si>
    <t>W005  17.255</t>
  </si>
  <si>
    <t>S1P_F2</t>
  </si>
  <si>
    <t>S1P_F3</t>
  </si>
  <si>
    <t>S1P_G</t>
  </si>
  <si>
    <t>S1P_G1</t>
  </si>
  <si>
    <t>N55  41.778</t>
  </si>
  <si>
    <t>W005  17.249</t>
  </si>
  <si>
    <t>S1P_G2</t>
  </si>
  <si>
    <t>S1P_G3</t>
  </si>
  <si>
    <t>S1P_H</t>
  </si>
  <si>
    <t>S1P_H1</t>
  </si>
  <si>
    <t>N55  41.763</t>
  </si>
  <si>
    <t>W005  17.235</t>
  </si>
  <si>
    <t>S1P_H2</t>
  </si>
  <si>
    <t>S1P_H3</t>
  </si>
  <si>
    <t>S1P_H4</t>
  </si>
  <si>
    <t>S1P_H5</t>
  </si>
  <si>
    <t>S2P_A</t>
  </si>
  <si>
    <t>S2P_A1</t>
  </si>
  <si>
    <t>N55  41.935</t>
  </si>
  <si>
    <t>W005  17.240</t>
  </si>
  <si>
    <t>S2P_A2</t>
  </si>
  <si>
    <t>S2P_B</t>
  </si>
  <si>
    <t>S2P_B1</t>
  </si>
  <si>
    <t>N55  41.924</t>
  </si>
  <si>
    <t>W005  17.220</t>
  </si>
  <si>
    <t>S2P_B2</t>
  </si>
  <si>
    <t>S2P_B3</t>
  </si>
  <si>
    <t>S2P_C</t>
  </si>
  <si>
    <t>S2P_C1</t>
  </si>
  <si>
    <t>N55  41.914</t>
  </si>
  <si>
    <t>W005  17.203</t>
  </si>
  <si>
    <t>S2P_C2</t>
  </si>
  <si>
    <t>S2P_C3</t>
  </si>
  <si>
    <t>Primulaceae</t>
  </si>
  <si>
    <t>Primula_vulgaris</t>
  </si>
  <si>
    <t>Primrose</t>
  </si>
  <si>
    <t>S2P_C4</t>
  </si>
  <si>
    <t>S2P_D</t>
  </si>
  <si>
    <t>S2P_D1</t>
  </si>
  <si>
    <t>N55  41.894</t>
  </si>
  <si>
    <t>W005  17.194</t>
  </si>
  <si>
    <t>S2P_D2</t>
  </si>
  <si>
    <t>S2P_D3</t>
  </si>
  <si>
    <t>S2P_D4</t>
  </si>
  <si>
    <t>S2P_D5</t>
  </si>
  <si>
    <t>S2P_D6</t>
  </si>
  <si>
    <t>S2P_E</t>
  </si>
  <si>
    <t>S2P_E1</t>
  </si>
  <si>
    <t>N55  41.881</t>
  </si>
  <si>
    <t>W005  17.177</t>
  </si>
  <si>
    <t>S2P_E2</t>
  </si>
  <si>
    <t>S2P_E3</t>
  </si>
  <si>
    <t>S2P_E4</t>
  </si>
  <si>
    <t>S2P_E5</t>
  </si>
  <si>
    <t>S2P_F</t>
  </si>
  <si>
    <t>S2P_F1</t>
  </si>
  <si>
    <t>Polytrichales</t>
  </si>
  <si>
    <t>Polytrichum_commune</t>
  </si>
  <si>
    <t>Common_haircap</t>
  </si>
  <si>
    <t>N55  41.867</t>
  </si>
  <si>
    <t>W005  17.160</t>
  </si>
  <si>
    <t>S2P_F2</t>
  </si>
  <si>
    <t>S2P_F3</t>
  </si>
  <si>
    <t>S2P_F4</t>
  </si>
  <si>
    <t>S2P_F5</t>
  </si>
  <si>
    <t>S2P_G</t>
  </si>
  <si>
    <t>S2P_G1</t>
  </si>
  <si>
    <t>W005  17.140</t>
  </si>
  <si>
    <t>S2P_G2</t>
  </si>
  <si>
    <t>S2P_G3</t>
  </si>
  <si>
    <t>S2P_G4</t>
  </si>
  <si>
    <t>S2P_G5</t>
  </si>
  <si>
    <t>S2P_H</t>
  </si>
  <si>
    <t>S2P_H1</t>
  </si>
  <si>
    <t>S2P_H2</t>
  </si>
  <si>
    <t>S2P_H3</t>
  </si>
  <si>
    <t>S2P_H4</t>
  </si>
  <si>
    <t>S2P_H5</t>
  </si>
  <si>
    <t>S2P_H6</t>
  </si>
  <si>
    <t>S2P_I</t>
  </si>
  <si>
    <t>S2P_I1</t>
  </si>
  <si>
    <t>W005  17.120</t>
  </si>
  <si>
    <t>S2P_I2</t>
  </si>
  <si>
    <t>S2P_I3</t>
  </si>
  <si>
    <t>S2P_I4</t>
  </si>
  <si>
    <t>S2P_I5</t>
  </si>
  <si>
    <t>S2P_J</t>
  </si>
  <si>
    <t>S2P_J1</t>
  </si>
  <si>
    <t>N55  41.817</t>
  </si>
  <si>
    <t>W005  17.100</t>
  </si>
  <si>
    <t>S2P_J2</t>
  </si>
  <si>
    <t>S2P_J3</t>
  </si>
  <si>
    <t>S2P_J4</t>
  </si>
  <si>
    <t>S2P_J5</t>
  </si>
  <si>
    <t xml:space="preserve">North Slope Species </t>
  </si>
  <si>
    <t>Counts</t>
  </si>
  <si>
    <t>South Slope Species</t>
  </si>
  <si>
    <t>N3TIT_E</t>
  </si>
  <si>
    <t>N3TIT_E1</t>
  </si>
  <si>
    <t>Human_observation</t>
  </si>
  <si>
    <t xml:space="preserve">Animalia </t>
  </si>
  <si>
    <t xml:space="preserve">Lepidoptera </t>
  </si>
  <si>
    <t xml:space="preserve">Aporophyla_nigra </t>
  </si>
  <si>
    <t xml:space="preserve">Black_rustic </t>
  </si>
  <si>
    <t xml:space="preserve">Species </t>
  </si>
  <si>
    <t>Individual</t>
  </si>
  <si>
    <t xml:space="preserve">Present </t>
  </si>
  <si>
    <t>N55 42.203</t>
  </si>
  <si>
    <t>W005 16.683</t>
  </si>
  <si>
    <t>GB</t>
  </si>
  <si>
    <t>N3TIT_E2</t>
  </si>
  <si>
    <t xml:space="preserve">Xestia_xanthographa </t>
  </si>
  <si>
    <t xml:space="preserve">Square_spot_rustic </t>
  </si>
  <si>
    <t>N3TIT_E3</t>
  </si>
  <si>
    <t>Geometridae</t>
  </si>
  <si>
    <t>Larval_geometrid</t>
  </si>
  <si>
    <t>N3TIT_E4</t>
  </si>
  <si>
    <t>Diptera</t>
  </si>
  <si>
    <t xml:space="preserve">Tipula_oleracea </t>
  </si>
  <si>
    <t xml:space="preserve">Marsh_crane_fly </t>
  </si>
  <si>
    <t>N3TIT_E5</t>
  </si>
  <si>
    <t xml:space="preserve">Noctua_pronuba </t>
  </si>
  <si>
    <t>Large_yellow_underwing</t>
  </si>
  <si>
    <t>N3TIT_E6</t>
  </si>
  <si>
    <t xml:space="preserve">Paradiarsia_glareosa </t>
  </si>
  <si>
    <t xml:space="preserve">Autumnal_rustic </t>
  </si>
  <si>
    <t>N3TIT_E7</t>
  </si>
  <si>
    <t xml:space="preserve">Xestia_agathina </t>
  </si>
  <si>
    <t xml:space="preserve">Heath_rustic </t>
  </si>
  <si>
    <t>N3TIT_E8</t>
  </si>
  <si>
    <t>Blastobasis_lacticolella</t>
  </si>
  <si>
    <t xml:space="preserve">Large_pale_masoner </t>
  </si>
  <si>
    <t>N3TIT_E9</t>
  </si>
  <si>
    <t>Stilbia_anomala</t>
  </si>
  <si>
    <t>The_anomalous</t>
  </si>
  <si>
    <t>S3TIT_E</t>
  </si>
  <si>
    <t>S3TIT_E1</t>
  </si>
  <si>
    <t>Denticucullus_pygmina</t>
  </si>
  <si>
    <t>Small_wainscot</t>
  </si>
  <si>
    <t>N55 41.922</t>
  </si>
  <si>
    <t>W005 17.005</t>
  </si>
  <si>
    <t>S3TIT_E2</t>
  </si>
  <si>
    <t>Tipula_paludosa</t>
  </si>
  <si>
    <t>European_crane_fly</t>
  </si>
  <si>
    <t>S3TIT_E3</t>
  </si>
  <si>
    <t>Xestia_castanea</t>
  </si>
  <si>
    <t>Neglected_rustic</t>
  </si>
  <si>
    <t>S3TIT_E4</t>
  </si>
  <si>
    <t xml:space="preserve">Trichoptera </t>
  </si>
  <si>
    <t>Limnephilus_lunatus</t>
  </si>
  <si>
    <t>Caddis_fly</t>
  </si>
  <si>
    <t>S3TIT_E5</t>
  </si>
  <si>
    <t>Dysstroma_truncata</t>
  </si>
  <si>
    <t>Common_marbled_carpet</t>
  </si>
  <si>
    <t>S3TIT_E6</t>
  </si>
  <si>
    <t>Ixodida</t>
  </si>
  <si>
    <t>Ixodes_ricinus</t>
  </si>
  <si>
    <t xml:space="preserve">Sheep_tick </t>
  </si>
  <si>
    <t>S3TIT_E7</t>
  </si>
  <si>
    <t>Julida</t>
  </si>
  <si>
    <t>Tachypodoiulus_niger</t>
  </si>
  <si>
    <t>White_legged_snake_millipede</t>
  </si>
  <si>
    <t>S3TIT_A</t>
  </si>
  <si>
    <t>S3TIT_A1</t>
  </si>
  <si>
    <t>N55 42.027</t>
  </si>
  <si>
    <t>W005 17.134</t>
  </si>
  <si>
    <t>S3TIT_A2</t>
  </si>
  <si>
    <t>Colostygia_pectinataria</t>
  </si>
  <si>
    <t>Green_carpet_moth</t>
  </si>
  <si>
    <t>S3TIT_A3</t>
  </si>
  <si>
    <t>S3TIT_A4</t>
  </si>
  <si>
    <t>Conistra_vaccinii</t>
  </si>
  <si>
    <t>Chestnut_moth</t>
  </si>
  <si>
    <t>S3TIT_A5</t>
  </si>
  <si>
    <t>Xanthia_togata</t>
  </si>
  <si>
    <t>Pink_barred_sallow_moth</t>
  </si>
  <si>
    <t>S3TIT_A6</t>
  </si>
  <si>
    <t>S3TIT_A7</t>
  </si>
  <si>
    <t>Clubiona_Latreille</t>
  </si>
  <si>
    <t>Leaf_curling_sac_spiders</t>
  </si>
  <si>
    <t>S3TIT_A8</t>
  </si>
  <si>
    <t>S3TIT_A9</t>
  </si>
  <si>
    <t>Sciaridae</t>
  </si>
  <si>
    <t xml:space="preserve">Dark_winged_fungus_gnats </t>
  </si>
  <si>
    <t>Family</t>
  </si>
  <si>
    <t>S3TIT_A10</t>
  </si>
  <si>
    <t>Cinnamon_sedge_caddisfly</t>
  </si>
  <si>
    <t>S3TIT_A11</t>
  </si>
  <si>
    <t>Tipula_rufina</t>
  </si>
  <si>
    <t xml:space="preserve">Crane_fly </t>
  </si>
  <si>
    <t>S3TIT_A12</t>
  </si>
  <si>
    <t>Crane_fly</t>
  </si>
  <si>
    <t>S3TIT_A13</t>
  </si>
  <si>
    <t xml:space="preserve">Tipula_paludosa </t>
  </si>
  <si>
    <t>S3TIT_A14</t>
  </si>
  <si>
    <t>N3TIT_A</t>
  </si>
  <si>
    <t>N3TIT_A1</t>
  </si>
  <si>
    <t>Standfussiana_lucernea</t>
  </si>
  <si>
    <t xml:space="preserve">Northern_rustic </t>
  </si>
  <si>
    <t>N55 42.253</t>
  </si>
  <si>
    <t>W005 16.755</t>
  </si>
  <si>
    <t>N3TIT_A2</t>
  </si>
  <si>
    <t>N3TIT_A3</t>
  </si>
  <si>
    <t>N3TIT_A4</t>
  </si>
  <si>
    <t>Limoniidae</t>
  </si>
  <si>
    <t>N3TIT_A5</t>
  </si>
  <si>
    <t>Araneae</t>
  </si>
  <si>
    <t>Linyphiidae</t>
  </si>
  <si>
    <t>Money_spider</t>
  </si>
  <si>
    <t xml:space="preserve">Family </t>
  </si>
  <si>
    <t>N3TIT_A6</t>
  </si>
  <si>
    <t>Hemiptera</t>
  </si>
  <si>
    <t>Rhopalidae</t>
  </si>
  <si>
    <t>Scentless_plant_bugs</t>
  </si>
  <si>
    <t>N3TIT_A7</t>
  </si>
  <si>
    <t>Agrius_convolvuli</t>
  </si>
  <si>
    <t>Convolvulus_hawk_moth</t>
  </si>
  <si>
    <t>N3TIT_A8</t>
  </si>
  <si>
    <t>Tipulidae</t>
  </si>
  <si>
    <t>N3TIT_A9</t>
  </si>
  <si>
    <t>Hymenoptera</t>
  </si>
  <si>
    <t>Ophion_sp</t>
  </si>
  <si>
    <t>Parasitic_wasps</t>
  </si>
  <si>
    <t xml:space="preserve">Genus </t>
  </si>
  <si>
    <t>N3TIT_A10</t>
  </si>
  <si>
    <t>S3TIT_J</t>
  </si>
  <si>
    <t>S3TIT_J1</t>
  </si>
  <si>
    <t>Trichoptera</t>
  </si>
  <si>
    <t>N55 41.828</t>
  </si>
  <si>
    <t>W005 16.810</t>
  </si>
  <si>
    <t>S3TIT_J2</t>
  </si>
  <si>
    <t>Cardrina_morpheus</t>
  </si>
  <si>
    <t>Mottled_rustic</t>
  </si>
  <si>
    <t>S3TIT_J3</t>
  </si>
  <si>
    <t>Culicidae</t>
  </si>
  <si>
    <t>Mosquito</t>
  </si>
  <si>
    <t>S3TIT_J4</t>
  </si>
  <si>
    <t>Tipuloidea</t>
  </si>
  <si>
    <t>Super_family</t>
  </si>
  <si>
    <t>N3TIT_J</t>
  </si>
  <si>
    <t>N3TIT_J1</t>
  </si>
  <si>
    <t>N55 42.061</t>
  </si>
  <si>
    <t>W005 16.371</t>
  </si>
  <si>
    <t>N3TIT_J2</t>
  </si>
  <si>
    <t>N3TIT_J3</t>
  </si>
  <si>
    <t>N3TIT_J4</t>
  </si>
  <si>
    <t>Euxoa_nigricans</t>
  </si>
  <si>
    <t>Garden_dart</t>
  </si>
  <si>
    <t>N3TIT_J5</t>
  </si>
  <si>
    <t>N3TIT_J6</t>
  </si>
  <si>
    <t>N3TIT_J7</t>
  </si>
  <si>
    <t xml:space="preserve">Diptera </t>
  </si>
  <si>
    <t>Fly</t>
  </si>
  <si>
    <t>N3TIT_J8</t>
  </si>
  <si>
    <t>N3TIT_J9</t>
  </si>
  <si>
    <t>North Slope Species</t>
  </si>
  <si>
    <t>S3TIP_E</t>
  </si>
  <si>
    <t>S3TIP_E1</t>
  </si>
  <si>
    <t xml:space="preserve">Human_observation </t>
  </si>
  <si>
    <t>Animalia</t>
  </si>
  <si>
    <t>Spider</t>
  </si>
  <si>
    <t>Indivdidual</t>
  </si>
  <si>
    <t>S3TIP_E2</t>
  </si>
  <si>
    <t>Homoptera</t>
  </si>
  <si>
    <t>Insect</t>
  </si>
  <si>
    <t>S3TIP_E3</t>
  </si>
  <si>
    <t>Poduromorpha</t>
  </si>
  <si>
    <t>Springtail</t>
  </si>
  <si>
    <t>S3TIP_I</t>
  </si>
  <si>
    <t>S3TIP_I1</t>
  </si>
  <si>
    <t>Coleoptera</t>
  </si>
  <si>
    <t>Pterostichus_niger</t>
  </si>
  <si>
    <t>Woodland_ground_beetle</t>
  </si>
  <si>
    <t>N55 41.843</t>
  </si>
  <si>
    <t>W005 16.821</t>
  </si>
  <si>
    <t>S3TIP_J</t>
  </si>
  <si>
    <t>S3TIP_J1</t>
  </si>
  <si>
    <t>Ixodoidea</t>
  </si>
  <si>
    <t>Tick</t>
  </si>
  <si>
    <t>S3TIN_A</t>
  </si>
  <si>
    <t>S3TIN_A1</t>
  </si>
  <si>
    <t>S3TIN_A2</t>
  </si>
  <si>
    <t>S3TIN_A3</t>
  </si>
  <si>
    <t>S3TIN_B</t>
  </si>
  <si>
    <t>S3TIN_B1</t>
  </si>
  <si>
    <t>N55 42.003</t>
  </si>
  <si>
    <t>W005 17.094</t>
  </si>
  <si>
    <t>S3TIN_B2</t>
  </si>
  <si>
    <t>S3TIN_B3</t>
  </si>
  <si>
    <t>S3TIN_B4</t>
  </si>
  <si>
    <t>S3TIN_C</t>
  </si>
  <si>
    <t>S3TIN_C1</t>
  </si>
  <si>
    <t>N55 41.979</t>
  </si>
  <si>
    <t>W005 17.065</t>
  </si>
  <si>
    <t>S3TIN_C2</t>
  </si>
  <si>
    <t>S3TIN_C3</t>
  </si>
  <si>
    <t>S3TIN_C4</t>
  </si>
  <si>
    <t>True_bug</t>
  </si>
  <si>
    <t>S3TIN_D</t>
  </si>
  <si>
    <t>S3TIN_D1</t>
  </si>
  <si>
    <t>N55 41.949</t>
  </si>
  <si>
    <t>W005 17.042</t>
  </si>
  <si>
    <t>S3TIN_D2</t>
  </si>
  <si>
    <t>S3TIN_D3</t>
  </si>
  <si>
    <t>S3TIN_E</t>
  </si>
  <si>
    <t>S3TIN_E1</t>
  </si>
  <si>
    <t>S3TIN_E2</t>
  </si>
  <si>
    <t>S3TIN_E3</t>
  </si>
  <si>
    <t>S3TIN_E4</t>
  </si>
  <si>
    <t>S3TIN_E5</t>
  </si>
  <si>
    <t>S3TIN_E6</t>
  </si>
  <si>
    <t>Formicidae</t>
  </si>
  <si>
    <t>Ant</t>
  </si>
  <si>
    <t>S3TIN_F</t>
  </si>
  <si>
    <t>S3TIN_F1</t>
  </si>
  <si>
    <t>N55 41.902</t>
  </si>
  <si>
    <t>W005 16.956</t>
  </si>
  <si>
    <t>S3TIN_F2</t>
  </si>
  <si>
    <t>S3TIN_F3</t>
  </si>
  <si>
    <t>S3TIN_F4</t>
  </si>
  <si>
    <t>S3TIN_F5</t>
  </si>
  <si>
    <t>S3TIN_F6</t>
  </si>
  <si>
    <t>S3TIN_G</t>
  </si>
  <si>
    <t>S3TIN_G1</t>
  </si>
  <si>
    <t>N55 41.907</t>
  </si>
  <si>
    <t>W005 16.884</t>
  </si>
  <si>
    <t>S3TIN_G2</t>
  </si>
  <si>
    <t>S3TIN_G3</t>
  </si>
  <si>
    <t>S3TIN_G4</t>
  </si>
  <si>
    <t>S3TIN_G5</t>
  </si>
  <si>
    <t>S3TIN_G6</t>
  </si>
  <si>
    <t>Leiobunum_rotundum</t>
  </si>
  <si>
    <t>Harverstman_spider</t>
  </si>
  <si>
    <t>S3TIN_H</t>
  </si>
  <si>
    <t>S3TIN_H1</t>
  </si>
  <si>
    <t>N55 41.862</t>
  </si>
  <si>
    <t>W005 16.861</t>
  </si>
  <si>
    <t>S3TIN_H2</t>
  </si>
  <si>
    <t>S3TIN_I</t>
  </si>
  <si>
    <t>S3TIN_I1</t>
  </si>
  <si>
    <t>S3TIN_I2</t>
  </si>
  <si>
    <t>S3TIN_I3</t>
  </si>
  <si>
    <t>Lepidoptera</t>
  </si>
  <si>
    <t>Caterpillar</t>
  </si>
  <si>
    <t>S3TIN_J</t>
  </si>
  <si>
    <t>S3TIN_J1</t>
  </si>
  <si>
    <t>S2TIP_C</t>
  </si>
  <si>
    <t>S2TIP_C1</t>
  </si>
  <si>
    <t>Anoplotrupes_stercorosus</t>
  </si>
  <si>
    <t>Dor_beetle</t>
  </si>
  <si>
    <t>N55 41.914</t>
  </si>
  <si>
    <t>W005 17.203</t>
  </si>
  <si>
    <t>S2TIN_A</t>
  </si>
  <si>
    <t>S2TIN_A1</t>
  </si>
  <si>
    <t>N55 41.935</t>
  </si>
  <si>
    <t>W005 17.240</t>
  </si>
  <si>
    <t>S2TIN_A2</t>
  </si>
  <si>
    <t>S2TIN_B</t>
  </si>
  <si>
    <t>S2TIN_B1</t>
  </si>
  <si>
    <t>N55 41.924</t>
  </si>
  <si>
    <t>W005 17.220</t>
  </si>
  <si>
    <t>S2TIN_B2</t>
  </si>
  <si>
    <t>S2TIN_B3</t>
  </si>
  <si>
    <t>S2TIN_C</t>
  </si>
  <si>
    <t>S2TIN_C1</t>
  </si>
  <si>
    <t>S2TIN_C2</t>
  </si>
  <si>
    <t>S2TIN_D</t>
  </si>
  <si>
    <t>S2TIN_D1</t>
  </si>
  <si>
    <t>N55 41.894</t>
  </si>
  <si>
    <t>W005 17.194</t>
  </si>
  <si>
    <t>S2TIN_D2</t>
  </si>
  <si>
    <t>S2TIN_D3</t>
  </si>
  <si>
    <t>S2TIN_E</t>
  </si>
  <si>
    <t>S2TIN_E1</t>
  </si>
  <si>
    <t>N55 41.881</t>
  </si>
  <si>
    <t>W005 17.177</t>
  </si>
  <si>
    <t>S2TIN_E2</t>
  </si>
  <si>
    <t>S2TIN_E3</t>
  </si>
  <si>
    <t>S2TIN_E4</t>
  </si>
  <si>
    <t>S2TIN_F</t>
  </si>
  <si>
    <t>S2TIN_F1</t>
  </si>
  <si>
    <t>N55 41.867</t>
  </si>
  <si>
    <t>W005 17.160</t>
  </si>
  <si>
    <t>S2TIN_G</t>
  </si>
  <si>
    <t>S2TIN_G1</t>
  </si>
  <si>
    <t>N55 41.857</t>
  </si>
  <si>
    <t>W005 17.140</t>
  </si>
  <si>
    <t>S2TIN_G2</t>
  </si>
  <si>
    <t>S2TIN_H</t>
  </si>
  <si>
    <t>S2TIN_H1</t>
  </si>
  <si>
    <t>S2TIN_H2</t>
  </si>
  <si>
    <t>S2TIN_I</t>
  </si>
  <si>
    <t>S2TIN_I1</t>
  </si>
  <si>
    <t>W005 17.120</t>
  </si>
  <si>
    <t>S2TIN_J</t>
  </si>
  <si>
    <t>S2TIN_J1</t>
  </si>
  <si>
    <t>N55 41.817</t>
  </si>
  <si>
    <t>W005 17.100</t>
  </si>
  <si>
    <t>S2TIN_J2</t>
  </si>
  <si>
    <t>S1TIN_A</t>
  </si>
  <si>
    <t>S1TIN_A1</t>
  </si>
  <si>
    <t>N55 41.870</t>
  </si>
  <si>
    <t>W005 17.278</t>
  </si>
  <si>
    <t>S1TIN_A2</t>
  </si>
  <si>
    <t>S1TIN_A3</t>
  </si>
  <si>
    <t>Geotrupes_stercorarius</t>
  </si>
  <si>
    <t>S1TIN_A4</t>
  </si>
  <si>
    <t>S1TIN_A5</t>
  </si>
  <si>
    <t>Euthrix_potatoria</t>
  </si>
  <si>
    <t>Drinker_moth</t>
  </si>
  <si>
    <t>S1TIN_B</t>
  </si>
  <si>
    <t>S1TIN_B1</t>
  </si>
  <si>
    <t>W005 17.272</t>
  </si>
  <si>
    <t>S1TIN_B2</t>
  </si>
  <si>
    <t>S1TIN_B3</t>
  </si>
  <si>
    <t>S1TIN_B4</t>
  </si>
  <si>
    <t>S1TIN_B5</t>
  </si>
  <si>
    <t>Aphididae</t>
  </si>
  <si>
    <t>Aphid</t>
  </si>
  <si>
    <t>S1TIN_C</t>
  </si>
  <si>
    <t>S1TIN_C1</t>
  </si>
  <si>
    <t>N55 41.839</t>
  </si>
  <si>
    <t>W005 17.280</t>
  </si>
  <si>
    <t>S1TIN_C2</t>
  </si>
  <si>
    <t>S1TIN_C3</t>
  </si>
  <si>
    <t>S1TIN_C4</t>
  </si>
  <si>
    <t>S1TIN_D</t>
  </si>
  <si>
    <t>S1TIN_D1</t>
  </si>
  <si>
    <t>N55 41.825</t>
  </si>
  <si>
    <t>W005 17.275</t>
  </si>
  <si>
    <t>S1TIN_D2</t>
  </si>
  <si>
    <t>S1TIN_E</t>
  </si>
  <si>
    <t>S1TIN_E1</t>
  </si>
  <si>
    <t>N55 41.809</t>
  </si>
  <si>
    <t>W005 17.269</t>
  </si>
  <si>
    <t>S1TIN_F</t>
  </si>
  <si>
    <t>S1TIN_F1</t>
  </si>
  <si>
    <t>N55 41.793</t>
  </si>
  <si>
    <t>W005 17.255</t>
  </si>
  <si>
    <t>S1TIN_F2</t>
  </si>
  <si>
    <t>S1TIN_F3</t>
  </si>
  <si>
    <t>S1TIN_F4</t>
  </si>
  <si>
    <t>Thysanoptera</t>
  </si>
  <si>
    <t>Thrip</t>
  </si>
  <si>
    <t>S1TIN_F5</t>
  </si>
  <si>
    <t>S1TIN_G</t>
  </si>
  <si>
    <t>S1TIN_G1</t>
  </si>
  <si>
    <t>N55 41.778</t>
  </si>
  <si>
    <t>W005 17.249</t>
  </si>
  <si>
    <t>S1TIN_H</t>
  </si>
  <si>
    <t>S1TIN_H1</t>
  </si>
  <si>
    <t>N55 41.763</t>
  </si>
  <si>
    <t>W005 17.235</t>
  </si>
  <si>
    <t>S1TIN_H2</t>
  </si>
  <si>
    <t>S1TIN_H3</t>
  </si>
  <si>
    <t>S1TIN_H4</t>
  </si>
  <si>
    <t>N2TIP_J</t>
  </si>
  <si>
    <t>N2TIP_J1</t>
  </si>
  <si>
    <t>Calathus fuscipes</t>
  </si>
  <si>
    <t>Ground Beetle</t>
  </si>
  <si>
    <t>N2TIN_D</t>
  </si>
  <si>
    <t>N2TIN_D1</t>
  </si>
  <si>
    <t>N2TIN_D2</t>
  </si>
  <si>
    <t>N2TIN_F</t>
  </si>
  <si>
    <t>N2TIN_F1</t>
  </si>
  <si>
    <t>N2TIN_F2</t>
  </si>
  <si>
    <t>N2TIN_F3</t>
  </si>
  <si>
    <t>N2TIN_G</t>
  </si>
  <si>
    <t>N2TIN_G1</t>
  </si>
  <si>
    <t>N2TIN_I</t>
  </si>
  <si>
    <t>N2TIN_I1</t>
  </si>
  <si>
    <t>N1TIN_F</t>
  </si>
  <si>
    <t>N1TIN_F1</t>
  </si>
  <si>
    <t>BMWPscore</t>
  </si>
  <si>
    <t>SD4FI_A</t>
  </si>
  <si>
    <t>D4FI_A1</t>
  </si>
  <si>
    <t>Oligochaeta</t>
  </si>
  <si>
    <t>Worm</t>
  </si>
  <si>
    <t>Individuals</t>
  </si>
  <si>
    <t>N55 41.854</t>
  </si>
  <si>
    <t>W005 16.439</t>
  </si>
  <si>
    <t>D4FI_A2</t>
  </si>
  <si>
    <t>Blackfly_larvae</t>
  </si>
  <si>
    <t>SU4FI_A</t>
  </si>
  <si>
    <t>SU4FI_A1</t>
  </si>
  <si>
    <t>Plecoptera</t>
  </si>
  <si>
    <t>Stonefly_larvae</t>
  </si>
  <si>
    <t>W005 16.382</t>
  </si>
  <si>
    <t>SU4FI_A2</t>
  </si>
  <si>
    <t xml:space="preserve">Waterbeetle_larvae </t>
  </si>
  <si>
    <t>N55 41.829</t>
  </si>
  <si>
    <t>W005 16.383</t>
  </si>
  <si>
    <t>SU4FI_A3</t>
  </si>
  <si>
    <t xml:space="preserve">Waterbeetle </t>
  </si>
  <si>
    <t>N55 41.830</t>
  </si>
  <si>
    <t>W005 16.384</t>
  </si>
  <si>
    <t>SU4F1_A4</t>
  </si>
  <si>
    <t>Caddisfly_larvae</t>
  </si>
  <si>
    <t>N55 41.831</t>
  </si>
  <si>
    <t>W005 16.385</t>
  </si>
  <si>
    <t>5, 10</t>
  </si>
  <si>
    <t>SU4F1_A5</t>
  </si>
  <si>
    <t xml:space="preserve">Ephemeropltera </t>
  </si>
  <si>
    <t>Mayfly_larvae</t>
  </si>
  <si>
    <t>N55 41.832</t>
  </si>
  <si>
    <t>W005 16.386</t>
  </si>
  <si>
    <t>NU4FI_A</t>
  </si>
  <si>
    <t>NU4FI_W1</t>
  </si>
  <si>
    <t>Hydropsychidae</t>
  </si>
  <si>
    <t>N55 42.464</t>
  </si>
  <si>
    <t>W005 17.036</t>
  </si>
  <si>
    <t>NU4FI_W2</t>
  </si>
  <si>
    <t>NU4FI_W3</t>
  </si>
  <si>
    <t>NU4FI_W4</t>
  </si>
  <si>
    <t>Philopotamidae</t>
  </si>
  <si>
    <t>Caseless_caddisfly_larvae</t>
  </si>
  <si>
    <t>5,10</t>
  </si>
  <si>
    <t>NU4FI_W5</t>
  </si>
  <si>
    <t>Cased_caddisfly_larvae</t>
  </si>
  <si>
    <t>NU4FI_W6</t>
  </si>
  <si>
    <t>Odonata</t>
  </si>
  <si>
    <t>anisoptera</t>
  </si>
  <si>
    <t>Dragonfly_larvae</t>
  </si>
  <si>
    <t xml:space="preserve">N55 42.464 </t>
  </si>
  <si>
    <t>ND4FI_A</t>
  </si>
  <si>
    <t>ND4FI_W1</t>
  </si>
  <si>
    <t>N55 42.444</t>
  </si>
  <si>
    <t>W005 17.068</t>
  </si>
  <si>
    <t>ND4FI_W2</t>
  </si>
  <si>
    <t>Ephemeroptera</t>
  </si>
  <si>
    <t>ND4FI_W3</t>
  </si>
  <si>
    <t>ND4FI_W4</t>
  </si>
  <si>
    <t>ND4FI_B</t>
  </si>
  <si>
    <t>ND4FI_E1</t>
  </si>
  <si>
    <t>N55 42.174</t>
  </si>
  <si>
    <t>W005 15.983</t>
  </si>
  <si>
    <t>ND4FI_E2</t>
  </si>
  <si>
    <t>ND4FI_E3</t>
  </si>
  <si>
    <t>ND4FI_E4</t>
  </si>
  <si>
    <t>ND4FI_E5</t>
  </si>
  <si>
    <t>Waterbeetle_larvae</t>
  </si>
  <si>
    <t>ND4FI_E6</t>
  </si>
  <si>
    <t>NU4FI_B</t>
  </si>
  <si>
    <t>NU4FI_E1</t>
  </si>
  <si>
    <t>N55 42.261</t>
  </si>
  <si>
    <t>W005 16.032</t>
  </si>
  <si>
    <t>NU4FI_E2</t>
  </si>
  <si>
    <t>NU4FI_E3</t>
  </si>
  <si>
    <t>SD4FI_B</t>
  </si>
  <si>
    <t>SD4FI_B1</t>
  </si>
  <si>
    <t>dytiscidae</t>
  </si>
  <si>
    <t>Diving_beetle</t>
  </si>
  <si>
    <t>SD4FI_B2</t>
  </si>
  <si>
    <t>Corixidae</t>
  </si>
  <si>
    <t>Lesser Water Boatman</t>
  </si>
  <si>
    <t>N55 41.802</t>
  </si>
  <si>
    <t>W005 16.876</t>
  </si>
  <si>
    <t>SD4FI_B3</t>
  </si>
  <si>
    <t xml:space="preserve">zygoptera </t>
  </si>
  <si>
    <t>Damselfly_larvae</t>
  </si>
  <si>
    <t>Suborder</t>
  </si>
  <si>
    <t>SD4FI_B4</t>
  </si>
  <si>
    <t>Infraorder</t>
  </si>
  <si>
    <t>SD4FI_B5</t>
  </si>
  <si>
    <t>Notonectidae</t>
  </si>
  <si>
    <t>Greater Water Boatman</t>
  </si>
  <si>
    <t>SU4FI_B</t>
  </si>
  <si>
    <t>SU4FI_B1</t>
  </si>
  <si>
    <t>SU4FI_B2</t>
  </si>
  <si>
    <t>SU4FI_B3</t>
  </si>
  <si>
    <t>Caddisfly_case</t>
  </si>
  <si>
    <t>SU4FI_B4</t>
  </si>
  <si>
    <t>simuliidae</t>
  </si>
  <si>
    <t>Cerastium_fontanum</t>
  </si>
  <si>
    <t>Lysimachia_nemorum</t>
  </si>
  <si>
    <t>Xestia_xanthographa</t>
  </si>
  <si>
    <t>Latitude N</t>
  </si>
  <si>
    <t>Longitude W</t>
  </si>
  <si>
    <t>Comments</t>
  </si>
  <si>
    <t>S3MR</t>
  </si>
  <si>
    <t>S3MR_1</t>
  </si>
  <si>
    <t>CameraTrap</t>
  </si>
  <si>
    <t>Rodentia</t>
  </si>
  <si>
    <t>Sciurus vulgaris</t>
  </si>
  <si>
    <t>Red Squirrel</t>
  </si>
  <si>
    <t>N 055°69.919</t>
  </si>
  <si>
    <t>W 005°28.530</t>
  </si>
  <si>
    <t>N/A</t>
  </si>
  <si>
    <t>N2MR</t>
  </si>
  <si>
    <t>N2MR_1</t>
  </si>
  <si>
    <t>No records</t>
  </si>
  <si>
    <t>Absent</t>
  </si>
  <si>
    <t>N 055°70.727</t>
  </si>
  <si>
    <t>W 005°28.102</t>
  </si>
  <si>
    <t>S3MR_2</t>
  </si>
  <si>
    <t>N 055°69.738</t>
  </si>
  <si>
    <t>W 005°28.134</t>
  </si>
  <si>
    <t>N3MR</t>
  </si>
  <si>
    <t>N3MR_1</t>
  </si>
  <si>
    <t>N 055°70.760</t>
  </si>
  <si>
    <t>W 005°27.946</t>
  </si>
  <si>
    <t>N1MR</t>
  </si>
  <si>
    <t>N1MR_1</t>
  </si>
  <si>
    <t>Artiodactyla</t>
  </si>
  <si>
    <t>Cervus elaphus</t>
  </si>
  <si>
    <t>Red dear</t>
  </si>
  <si>
    <t>N 055°70.738</t>
  </si>
  <si>
    <t>W 005°27.611</t>
  </si>
  <si>
    <t>Many ind, faeces as well</t>
  </si>
  <si>
    <t>N1MR_2</t>
  </si>
  <si>
    <r>
      <t xml:space="preserve">Ovis </t>
    </r>
    <r>
      <rPr>
        <sz val="12"/>
        <color rgb="FF000000"/>
        <rFont val="Calibri"/>
        <family val="2"/>
      </rPr>
      <t>sp.</t>
    </r>
  </si>
  <si>
    <t>Domestic sheep</t>
  </si>
  <si>
    <t>N 055°70.426</t>
  </si>
  <si>
    <t>W 005°27.224</t>
  </si>
  <si>
    <t>Few ind, faeces as well</t>
  </si>
  <si>
    <t>N2MR_2</t>
  </si>
  <si>
    <t>N 055°70.534</t>
  </si>
  <si>
    <t>W 005°26.875</t>
  </si>
  <si>
    <t>N2MR_3</t>
  </si>
  <si>
    <r>
      <t xml:space="preserve">Ovis </t>
    </r>
    <r>
      <rPr>
        <sz val="12"/>
        <color rgb="FF000000"/>
        <rFont val="Calibri"/>
        <family val="2"/>
      </rPr>
      <t>sp</t>
    </r>
    <r>
      <rPr>
        <i/>
        <sz val="12"/>
        <color rgb="FF000000"/>
        <rFont val="Calibri"/>
        <family val="2"/>
      </rPr>
      <t>.</t>
    </r>
  </si>
  <si>
    <t>N 055°70.583</t>
  </si>
  <si>
    <t>W 005°26.983</t>
  </si>
  <si>
    <t>N2MR_4</t>
  </si>
  <si>
    <t>Carnivora</t>
  </si>
  <si>
    <t>Meles meles</t>
  </si>
  <si>
    <t>Badger</t>
  </si>
  <si>
    <t>N 055°70.731</t>
  </si>
  <si>
    <t>W 005°27.867</t>
  </si>
  <si>
    <t>N3MR_2</t>
  </si>
  <si>
    <t>N 055°70.328</t>
  </si>
  <si>
    <t>W 005°27.880</t>
  </si>
  <si>
    <t>N3MR_3</t>
  </si>
  <si>
    <t>N 055°70.528</t>
  </si>
  <si>
    <t>W 005°28.117</t>
  </si>
  <si>
    <t>S1MR</t>
  </si>
  <si>
    <t>S1MR_1</t>
  </si>
  <si>
    <t>Faeces</t>
  </si>
  <si>
    <t>N 055°69.590</t>
  </si>
  <si>
    <t>W 005°28.581</t>
  </si>
  <si>
    <t>Just faeces</t>
  </si>
  <si>
    <t>S2MR</t>
  </si>
  <si>
    <t>S2MR_1</t>
  </si>
  <si>
    <t>N 055°69.755</t>
  </si>
  <si>
    <t>W 005°28.505</t>
  </si>
  <si>
    <t>S3MR_3</t>
  </si>
  <si>
    <t>N 055°69.893</t>
  </si>
  <si>
    <t>W 005°28468</t>
  </si>
  <si>
    <t>N 055°69.718</t>
  </si>
  <si>
    <t>W 005°28258</t>
  </si>
  <si>
    <t>N1B</t>
  </si>
  <si>
    <t>N1B_1</t>
  </si>
  <si>
    <t>Vertebrata</t>
  </si>
  <si>
    <t>Anthus pratensis</t>
  </si>
  <si>
    <t>Meadow pipit</t>
  </si>
  <si>
    <t>NA</t>
  </si>
  <si>
    <t>S2B</t>
  </si>
  <si>
    <t>S2B_1</t>
  </si>
  <si>
    <t>Falco tinnunculus</t>
  </si>
  <si>
    <t>Common kestrel</t>
  </si>
  <si>
    <t>TRF (OS)</t>
  </si>
  <si>
    <t>N3B</t>
  </si>
  <si>
    <t>N3B_1</t>
  </si>
  <si>
    <t>Columba palumbus</t>
  </si>
  <si>
    <t>Wood pigeon</t>
  </si>
  <si>
    <t>Flock</t>
  </si>
  <si>
    <t>N3B_2</t>
  </si>
  <si>
    <t>N3B_3</t>
  </si>
  <si>
    <t>N3B_4</t>
  </si>
  <si>
    <t>N3B_5</t>
  </si>
  <si>
    <t>N3B_6</t>
  </si>
  <si>
    <t>N3B_7</t>
  </si>
  <si>
    <t>N3B_8</t>
  </si>
  <si>
    <t>N3B_</t>
  </si>
  <si>
    <t>Motacilla alba</t>
  </si>
  <si>
    <t>Pied wagtail</t>
  </si>
  <si>
    <t>Erithacus rubecula</t>
  </si>
  <si>
    <t>European robin</t>
  </si>
  <si>
    <t>Cyanistes caeruleus</t>
  </si>
  <si>
    <t>Blue tit</t>
  </si>
  <si>
    <t>Coloeus monedula</t>
  </si>
  <si>
    <t>Western jackdaw</t>
  </si>
  <si>
    <t>Turdus spp</t>
  </si>
  <si>
    <t>Unidentified thrush</t>
  </si>
  <si>
    <t>Periparus ater</t>
  </si>
  <si>
    <t>Coal tit</t>
  </si>
  <si>
    <t>N3B_OoB</t>
  </si>
  <si>
    <t>N3B_OoB_1</t>
  </si>
  <si>
    <t>N2B</t>
  </si>
  <si>
    <t>N2B_1</t>
  </si>
  <si>
    <t>Aquila chrysaetos</t>
  </si>
  <si>
    <t>Golden eagle</t>
  </si>
  <si>
    <t>N2B_2</t>
  </si>
  <si>
    <t>Corvus corone</t>
  </si>
  <si>
    <t>Carrion crow</t>
  </si>
  <si>
    <t>N2B_3</t>
  </si>
  <si>
    <t>Turdus philomelos</t>
  </si>
  <si>
    <t>Song thrush</t>
  </si>
  <si>
    <t>N2B_4</t>
  </si>
  <si>
    <t>Unidentified</t>
  </si>
  <si>
    <t>N2B_5</t>
  </si>
  <si>
    <t>Alauda arvensis</t>
  </si>
  <si>
    <t>Skylark</t>
  </si>
  <si>
    <t>S3B</t>
  </si>
  <si>
    <t>S3B_1</t>
  </si>
  <si>
    <t>S3B_2</t>
  </si>
  <si>
    <t>S3B_3</t>
  </si>
  <si>
    <t>Corvus corax</t>
  </si>
  <si>
    <t>Common raven</t>
  </si>
  <si>
    <t>S3B_4</t>
  </si>
  <si>
    <t>NB_I</t>
  </si>
  <si>
    <t>NB_I_1</t>
  </si>
  <si>
    <t>NB_I_2</t>
  </si>
  <si>
    <t>S2B_OoB</t>
  </si>
  <si>
    <t>S2B_OoB_1</t>
  </si>
  <si>
    <t>S2B_OoB_2</t>
  </si>
  <si>
    <t>HumanobservationCall</t>
  </si>
  <si>
    <t>Troglodytes troglodytes</t>
  </si>
  <si>
    <t>Eurasion wren</t>
  </si>
  <si>
    <t>S2B_OoB_3</t>
  </si>
  <si>
    <t>N1B_OoB</t>
  </si>
  <si>
    <t>N1B_OoB_1</t>
  </si>
  <si>
    <t>N1B_OoB_2</t>
  </si>
  <si>
    <t>S1B</t>
  </si>
  <si>
    <t>S1B_1</t>
  </si>
  <si>
    <t>S1B_2</t>
  </si>
  <si>
    <t>S1B_3</t>
  </si>
  <si>
    <t>S1B_4</t>
  </si>
  <si>
    <t>Certhia familiaris</t>
  </si>
  <si>
    <t>Treecreeper</t>
  </si>
  <si>
    <t>S1B_5</t>
  </si>
  <si>
    <t>S1B_6</t>
  </si>
  <si>
    <t>Aegithalos caudatus</t>
  </si>
  <si>
    <t>Long tailed tit</t>
  </si>
  <si>
    <t>SIB_OoB</t>
  </si>
  <si>
    <t>S1B_OoB_1</t>
  </si>
  <si>
    <t>Nest</t>
  </si>
  <si>
    <t>S1B_OoB_2</t>
  </si>
  <si>
    <t>1 unidentified</t>
  </si>
  <si>
    <t>Total %cover of quads</t>
  </si>
  <si>
    <t>Mean cover of each plant</t>
  </si>
  <si>
    <t>Plants</t>
  </si>
  <si>
    <t>Moths</t>
  </si>
  <si>
    <t>Invertebrates</t>
  </si>
  <si>
    <t>Birds</t>
  </si>
  <si>
    <t>Mammals</t>
  </si>
  <si>
    <t>Unidentified Nest</t>
  </si>
  <si>
    <t>prop</t>
  </si>
  <si>
    <t>H'</t>
  </si>
  <si>
    <t>max H'</t>
  </si>
  <si>
    <t>J'</t>
  </si>
  <si>
    <t>north p</t>
  </si>
  <si>
    <t>log(p)</t>
  </si>
  <si>
    <t>south p</t>
  </si>
  <si>
    <t>p</t>
  </si>
  <si>
    <t>log</t>
  </si>
  <si>
    <t xml:space="preserve">max H' </t>
  </si>
  <si>
    <t xml:space="preserve">J' </t>
  </si>
  <si>
    <t>Shannon's (overestimate)</t>
  </si>
  <si>
    <t>D</t>
  </si>
  <si>
    <t>1-D</t>
  </si>
  <si>
    <t>1/D</t>
  </si>
  <si>
    <t>Simpson's</t>
  </si>
  <si>
    <t>D'</t>
  </si>
  <si>
    <t>1-D'</t>
  </si>
  <si>
    <t>1/D'</t>
  </si>
  <si>
    <t>total</t>
  </si>
  <si>
    <t>unique</t>
  </si>
  <si>
    <t>North</t>
  </si>
  <si>
    <t>South</t>
  </si>
  <si>
    <t>Common</t>
  </si>
  <si>
    <t>so Sorensen's:</t>
  </si>
  <si>
    <t>tot</t>
  </si>
  <si>
    <t xml:space="preserve">North </t>
  </si>
  <si>
    <t xml:space="preserve">Site </t>
  </si>
  <si>
    <t>Site</t>
  </si>
  <si>
    <t>Red Deer</t>
  </si>
  <si>
    <t xml:space="preserve">Red Squirrel </t>
  </si>
  <si>
    <t>Unidentified Eggs</t>
  </si>
  <si>
    <t>Ovis aries</t>
  </si>
  <si>
    <t>Turdus spp.</t>
  </si>
  <si>
    <t>pNor</t>
  </si>
  <si>
    <t>logpNor</t>
  </si>
  <si>
    <t>pSou</t>
  </si>
  <si>
    <t>logpSou</t>
  </si>
  <si>
    <t>total species</t>
  </si>
  <si>
    <t xml:space="preserve">north </t>
  </si>
  <si>
    <t>south</t>
  </si>
  <si>
    <t>Red_Squirrel</t>
  </si>
  <si>
    <t>Alauda_arvensis</t>
  </si>
  <si>
    <t>Anthus_pratensis</t>
  </si>
  <si>
    <t>Aquila_chrysaetos</t>
  </si>
  <si>
    <t>Certhia_familiaris</t>
  </si>
  <si>
    <t>Coloeus_monedula</t>
  </si>
  <si>
    <t>Columba_palumbus</t>
  </si>
  <si>
    <t>Corvus_corax</t>
  </si>
  <si>
    <t>Corvus_corone</t>
  </si>
  <si>
    <t>Cyanistes_caeruleus</t>
  </si>
  <si>
    <t>Erithacus_rubecula</t>
  </si>
  <si>
    <t>Falco_tinnunculus</t>
  </si>
  <si>
    <t>Motacilla_alba</t>
  </si>
  <si>
    <t>Periparus_ater</t>
  </si>
  <si>
    <t>Troglodytes_troglodytes</t>
  </si>
  <si>
    <t>Turdus_philomelos</t>
  </si>
  <si>
    <t>Turdus_spp.</t>
  </si>
  <si>
    <t>Aegithalos_caudatus</t>
  </si>
  <si>
    <t>Unidentified_eggs</t>
  </si>
  <si>
    <t>Domestic_sheep</t>
  </si>
  <si>
    <t>Red_deer</t>
  </si>
  <si>
    <t>N1CR_B</t>
  </si>
  <si>
    <t>N1CR_B1</t>
  </si>
  <si>
    <t>Audiomoth</t>
  </si>
  <si>
    <t>Chiroptera</t>
  </si>
  <si>
    <t>Pipistrellus_pygmaeus</t>
  </si>
  <si>
    <t>Soprano pipistrelle</t>
  </si>
  <si>
    <t>N55 42.5095</t>
  </si>
  <si>
    <t>W005 16.3155</t>
  </si>
  <si>
    <t>N1CR_C</t>
  </si>
  <si>
    <t>N1CR_C1</t>
  </si>
  <si>
    <t>Soprano_pipistrelle</t>
  </si>
  <si>
    <t>N55 42.4782</t>
  </si>
  <si>
    <t>W005 16.5820</t>
  </si>
  <si>
    <t>N2CR_A</t>
  </si>
  <si>
    <t>N2CR_A1</t>
  </si>
  <si>
    <t>N55 42.4563</t>
  </si>
  <si>
    <t>W005 16.7708</t>
  </si>
  <si>
    <t>N2CR_A2</t>
  </si>
  <si>
    <t>Pipistrellus_pipistrellus</t>
  </si>
  <si>
    <t>Common_pipistrelle</t>
  </si>
  <si>
    <t>Common pipistrelle</t>
  </si>
  <si>
    <t>N55 42.1536</t>
  </si>
  <si>
    <t>W005 16.1095</t>
  </si>
  <si>
    <t>N3CR_A</t>
  </si>
  <si>
    <t>N3CR_A1</t>
  </si>
  <si>
    <t>N55 42.4494</t>
  </si>
  <si>
    <t>W005 170579</t>
  </si>
  <si>
    <t>S2CR_A</t>
  </si>
  <si>
    <t>S2CR_A1</t>
  </si>
  <si>
    <t>Nyctalus_leisleri</t>
  </si>
  <si>
    <t>Lesser_noctule</t>
  </si>
  <si>
    <t>N55 41.945</t>
  </si>
  <si>
    <t>W005 17.102</t>
  </si>
  <si>
    <t>S2CR_A2</t>
  </si>
  <si>
    <t>Pipistrellus_nathusii</t>
  </si>
  <si>
    <t>Nathusius'_pipistrelle</t>
  </si>
  <si>
    <t>S2CR_A3</t>
  </si>
  <si>
    <t>S2CR_B</t>
  </si>
  <si>
    <t>S2CR_B1</t>
  </si>
  <si>
    <t>N55 41.791</t>
  </si>
  <si>
    <t>W005 17.028</t>
  </si>
  <si>
    <t>S2CR_B2</t>
  </si>
  <si>
    <t>S2CR_B3</t>
  </si>
  <si>
    <t>S2CR_B4</t>
  </si>
  <si>
    <t>Plecotus_auritus</t>
  </si>
  <si>
    <t>Brown_long-eared_bat</t>
  </si>
  <si>
    <t>S3CR_A</t>
  </si>
  <si>
    <t>S3CR_A1</t>
  </si>
  <si>
    <t>N55 41.9613</t>
  </si>
  <si>
    <t>W005 170867</t>
  </si>
  <si>
    <t>S3CR_A2</t>
  </si>
  <si>
    <t>S3CR_A3</t>
  </si>
  <si>
    <t>S3CR_B</t>
  </si>
  <si>
    <t>S3CR_B1</t>
  </si>
  <si>
    <t>S3CR_B2</t>
  </si>
  <si>
    <t>S3CR_B3</t>
  </si>
  <si>
    <t>S3CR_C</t>
  </si>
  <si>
    <t>Nathusius' pipistrelle</t>
  </si>
  <si>
    <t>?</t>
  </si>
  <si>
    <t>bats</t>
  </si>
  <si>
    <t>site</t>
  </si>
  <si>
    <t>species</t>
  </si>
  <si>
    <t>Group</t>
  </si>
  <si>
    <t>Unique Species</t>
  </si>
  <si>
    <t>No. of Observations</t>
  </si>
  <si>
    <t>North Slope</t>
  </si>
  <si>
    <t>South Slope</t>
  </si>
  <si>
    <t>Bats</t>
  </si>
  <si>
    <t>observations</t>
  </si>
  <si>
    <t>Protected Species</t>
  </si>
  <si>
    <t>Kestrel</t>
  </si>
  <si>
    <t>Red</t>
  </si>
  <si>
    <t>Amber</t>
  </si>
  <si>
    <t>arctic skua</t>
  </si>
  <si>
    <t>kittiwake</t>
  </si>
  <si>
    <t>savi’s warbler</t>
  </si>
  <si>
    <t/>
  </si>
  <si>
    <t>balearic shearwater</t>
  </si>
  <si>
    <t>lapwing</t>
  </si>
  <si>
    <t>scaup</t>
  </si>
  <si>
    <t>bewick’s swan</t>
  </si>
  <si>
    <t>leach’s storm petrel</t>
  </si>
  <si>
    <t>shag</t>
  </si>
  <si>
    <t>tawny owl</t>
  </si>
  <si>
    <t>shorelark</t>
  </si>
  <si>
    <t>dipper</t>
  </si>
  <si>
    <t>meadow pipit</t>
  </si>
  <si>
    <t>reed bunting</t>
  </si>
  <si>
    <t>black grouse</t>
  </si>
  <si>
    <t>lesser spotted woodpecker</t>
  </si>
  <si>
    <t>skylark</t>
  </si>
  <si>
    <t>black-tailed godwit</t>
  </si>
  <si>
    <t>linnet</t>
  </si>
  <si>
    <t>slavonian grebe</t>
  </si>
  <si>
    <t>guillemot</t>
  </si>
  <si>
    <t>capercaillie</t>
  </si>
  <si>
    <t>long-tailed duck</t>
  </si>
  <si>
    <t>smew</t>
  </si>
  <si>
    <t>osprey</t>
  </si>
  <si>
    <t>song thrush</t>
  </si>
  <si>
    <t>water pipit</t>
  </si>
  <si>
    <t>cirl bunting</t>
  </si>
  <si>
    <t>marsh tit</t>
  </si>
  <si>
    <t>spotted flycatcher</t>
  </si>
  <si>
    <t>short-eared owl</t>
  </si>
  <si>
    <t>common scoter</t>
  </si>
  <si>
    <t>marsh warbler</t>
  </si>
  <si>
    <t>starling</t>
  </si>
  <si>
    <t>corn bunting</t>
  </si>
  <si>
    <t>merlin</t>
  </si>
  <si>
    <t>swift</t>
  </si>
  <si>
    <t>honey-buzzard</t>
  </si>
  <si>
    <t>redwing</t>
  </si>
  <si>
    <t>grey wagtail</t>
  </si>
  <si>
    <t>corncrake</t>
  </si>
  <si>
    <t>mistle thrush</t>
  </si>
  <si>
    <t>tree pipit</t>
  </si>
  <si>
    <t>cuckoo</t>
  </si>
  <si>
    <t>montagu’s harrier</t>
  </si>
  <si>
    <t>tree sparrow</t>
  </si>
  <si>
    <t>curlew</t>
  </si>
  <si>
    <t>nightingale</t>
  </si>
  <si>
    <t>turtle dove</t>
  </si>
  <si>
    <t>marsh harrier</t>
  </si>
  <si>
    <t>willow warbler</t>
  </si>
  <si>
    <t>bullfinch</t>
  </si>
  <si>
    <t>dotterel</t>
  </si>
  <si>
    <t>pochard</t>
  </si>
  <si>
    <t>twite</t>
  </si>
  <si>
    <t>dunlin</t>
  </si>
  <si>
    <t>ptarmigan</t>
  </si>
  <si>
    <t>velvet scoter</t>
  </si>
  <si>
    <t>fieldfare</t>
  </si>
  <si>
    <t>puffin</t>
  </si>
  <si>
    <t>whimbrel</t>
  </si>
  <si>
    <t>parrot crossbill</t>
  </si>
  <si>
    <t>goldeneye</t>
  </si>
  <si>
    <t>purple sandpiper</t>
  </si>
  <si>
    <t>whinchat</t>
  </si>
  <si>
    <t>grasshopper warbler</t>
  </si>
  <si>
    <t>red-backed shrike</t>
  </si>
  <si>
    <t>white-fronted goose</t>
  </si>
  <si>
    <t>thrush</t>
  </si>
  <si>
    <t>greenfinch</t>
  </si>
  <si>
    <t>red-necked grebe</t>
  </si>
  <si>
    <t>willow tit</t>
  </si>
  <si>
    <t>dartford warbler</t>
  </si>
  <si>
    <t>common redstart</t>
  </si>
  <si>
    <t>scottish crossbill</t>
  </si>
  <si>
    <t>grey partridge</t>
  </si>
  <si>
    <t>red-necked phalarope</t>
  </si>
  <si>
    <t>wood warbler</t>
  </si>
  <si>
    <t>hawfinch</t>
  </si>
  <si>
    <t>redpoll</t>
  </si>
  <si>
    <t>woodcock</t>
  </si>
  <si>
    <t>hen harrier</t>
  </si>
  <si>
    <t>ring ouzel</t>
  </si>
  <si>
    <t>yellow wagtail</t>
  </si>
  <si>
    <t>kestrel</t>
  </si>
  <si>
    <t>short-toed treecreeper</t>
  </si>
  <si>
    <t>wheatear</t>
  </si>
  <si>
    <t>lapland bunting</t>
  </si>
  <si>
    <t>herring gull</t>
  </si>
  <si>
    <t>ringed plover</t>
  </si>
  <si>
    <t>yellowhammer</t>
  </si>
  <si>
    <t>house martin</t>
  </si>
  <si>
    <t>roseate tern</t>
  </si>
  <si>
    <t>house sparrow</t>
  </si>
  <si>
    <t>ruff</t>
  </si>
  <si>
    <t>rook</t>
  </si>
  <si>
    <t>dunnock</t>
  </si>
  <si>
    <t>snow bunting</t>
  </si>
  <si>
    <t>treecreeper</t>
  </si>
  <si>
    <t>jackdaw</t>
  </si>
  <si>
    <t>woodpigeon</t>
  </si>
  <si>
    <t>raven</t>
  </si>
  <si>
    <t>robin</t>
  </si>
  <si>
    <t>golden eagle</t>
  </si>
  <si>
    <t>carrion crow</t>
  </si>
  <si>
    <t>blue tit</t>
  </si>
  <si>
    <t>white wagtail</t>
  </si>
  <si>
    <t>coal tit</t>
  </si>
  <si>
    <t>wren</t>
  </si>
  <si>
    <t>long-tailed tit</t>
  </si>
  <si>
    <t>quail</t>
  </si>
  <si>
    <t>stone-curlew</t>
  </si>
  <si>
    <t>whooper swan</t>
  </si>
  <si>
    <t>oystercatcher</t>
  </si>
  <si>
    <t>brent goose</t>
  </si>
  <si>
    <t>avocet</t>
  </si>
  <si>
    <t>barnacle goose</t>
  </si>
  <si>
    <t>black-winged stilt</t>
  </si>
  <si>
    <t>greylag goose</t>
  </si>
  <si>
    <t>grey plover</t>
  </si>
  <si>
    <t>sparrowhawk</t>
  </si>
  <si>
    <t>bean goose</t>
  </si>
  <si>
    <t>bar-tailed godwit</t>
  </si>
  <si>
    <t>white-tailed eagle</t>
  </si>
  <si>
    <t>pink-footed goose</t>
  </si>
  <si>
    <t>turnstone</t>
  </si>
  <si>
    <t>eider</t>
  </si>
  <si>
    <t>knot</t>
  </si>
  <si>
    <t>red-breasted merganser</t>
  </si>
  <si>
    <t>curlew sandpiper</t>
  </si>
  <si>
    <t>shelduck</t>
  </si>
  <si>
    <t>sanderling</t>
  </si>
  <si>
    <t>sedge warbler</t>
  </si>
  <si>
    <t>garganey</t>
  </si>
  <si>
    <t>snipe</t>
  </si>
  <si>
    <t>yellow-browed warbler</t>
  </si>
  <si>
    <t>shoveler</t>
  </si>
  <si>
    <t>common sandpiper</t>
  </si>
  <si>
    <t>gadwall</t>
  </si>
  <si>
    <t>green sandpiper</t>
  </si>
  <si>
    <t>common whitethroat</t>
  </si>
  <si>
    <t>wigeon</t>
  </si>
  <si>
    <t>spotted redshank</t>
  </si>
  <si>
    <t>mallard</t>
  </si>
  <si>
    <t>greenshank</t>
  </si>
  <si>
    <t>pintail</t>
  </si>
  <si>
    <t>redshank</t>
  </si>
  <si>
    <t>teal</t>
  </si>
  <si>
    <t>wood sandpiper</t>
  </si>
  <si>
    <t>black-necked grebe</t>
  </si>
  <si>
    <t>black-headed gull</t>
  </si>
  <si>
    <t>stock dove</t>
  </si>
  <si>
    <t>mediterranean gull</t>
  </si>
  <si>
    <t>common gull</t>
  </si>
  <si>
    <t>pied flycatcher</t>
  </si>
  <si>
    <t>nightjar</t>
  </si>
  <si>
    <t>lesser black-backed gull</t>
  </si>
  <si>
    <t>black redstart</t>
  </si>
  <si>
    <t>spotted crake</t>
  </si>
  <si>
    <t>yellow-legged gull</t>
  </si>
  <si>
    <t>moorhen</t>
  </si>
  <si>
    <t>caspian gull</t>
  </si>
  <si>
    <t>crane</t>
  </si>
  <si>
    <t>iceland gull</t>
  </si>
  <si>
    <t>black-throated diver</t>
  </si>
  <si>
    <t>glaucous gull</t>
  </si>
  <si>
    <t>great northern diver</t>
  </si>
  <si>
    <t>great black-backed gull</t>
  </si>
  <si>
    <t>european storm-petrel</t>
  </si>
  <si>
    <t>little tern</t>
  </si>
  <si>
    <t>northern fulmar</t>
  </si>
  <si>
    <t>common tern</t>
  </si>
  <si>
    <t>manx shearwater</t>
  </si>
  <si>
    <t>arctic tern</t>
  </si>
  <si>
    <t>spoonbill</t>
  </si>
  <si>
    <t>sandwich tern</t>
  </si>
  <si>
    <t>bittern</t>
  </si>
  <si>
    <t>great skua</t>
  </si>
  <si>
    <t>little bittern</t>
  </si>
  <si>
    <t>black guillemot</t>
  </si>
  <si>
    <t>cattle egret</t>
  </si>
  <si>
    <t>razorbill</t>
  </si>
  <si>
    <t>great white egret</t>
  </si>
  <si>
    <t>gannet</t>
  </si>
  <si>
    <t>From Red list there is the skylark</t>
  </si>
  <si>
    <t>From Amber list there is meadow pipit, woodpigeon, kestrel, wren, song thrush</t>
  </si>
  <si>
    <t>Meadow Pipit</t>
  </si>
  <si>
    <t>Wood Pigeon</t>
  </si>
  <si>
    <t>Wren</t>
  </si>
  <si>
    <t>Song Thrush</t>
  </si>
  <si>
    <t>Almost all species initially outlined as being of interest are present on south slope</t>
  </si>
  <si>
    <t>Eurasian Sparrowhawk</t>
  </si>
  <si>
    <t>Common Sandpiper</t>
  </si>
  <si>
    <t>Common Buzzard</t>
  </si>
  <si>
    <t>Common Ringed Plover</t>
  </si>
  <si>
    <t>European Shag</t>
  </si>
  <si>
    <t>House Sparrow</t>
  </si>
  <si>
    <t>Sand Martin</t>
  </si>
  <si>
    <t>Whinchat</t>
  </si>
  <si>
    <t>Common Starling</t>
  </si>
  <si>
    <t>Ring Ouzel</t>
  </si>
  <si>
    <t>Sycamore</t>
  </si>
  <si>
    <t>Mute Swan</t>
  </si>
  <si>
    <t>American Mink</t>
  </si>
  <si>
    <t>Common Rhododendron</t>
  </si>
  <si>
    <t>Salmonberry</t>
  </si>
  <si>
    <t>Invasive Species</t>
  </si>
  <si>
    <t xml:space="preserve">South Slope </t>
  </si>
  <si>
    <t>Accipiter nisus</t>
  </si>
  <si>
    <t>Acer pseudoplatanus</t>
  </si>
  <si>
    <t>Actitis hypoleucos</t>
  </si>
  <si>
    <t>Cygnus olor</t>
  </si>
  <si>
    <t>Buteo buteo</t>
  </si>
  <si>
    <t>Neovison vison</t>
  </si>
  <si>
    <t>Charadrius hiaticula</t>
  </si>
  <si>
    <t>Rhododendron ponticum</t>
  </si>
  <si>
    <t>Gulosus aristotelis</t>
  </si>
  <si>
    <t>Rubus spectabilis</t>
  </si>
  <si>
    <t>Passer domesticus</t>
  </si>
  <si>
    <t>Riparia riparia</t>
  </si>
  <si>
    <t>Saxicola rubetra</t>
  </si>
  <si>
    <t>Sturnus vulgaris</t>
  </si>
  <si>
    <t>Turdus torquatus</t>
  </si>
  <si>
    <t>Endangered Species</t>
  </si>
  <si>
    <t>Cuculus canorus</t>
  </si>
  <si>
    <t>Common Cuckoo</t>
  </si>
  <si>
    <t>Linaria cannabina</t>
  </si>
  <si>
    <t>Common Linnet</t>
  </si>
  <si>
    <t>plant sorensen's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</si>
</sst>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1" x14ac:knownFonts="1">
    <font>
      <sz val="11"/>
      <color theme="1"/>
      <name val="Aptos Narrow"/>
      <family val="2"/>
      <scheme val="minor"/>
    </font>
    <font>
      <b/>
      <sz val="12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sz val="12"/>
      <name val="Aptos Narrow"/>
      <family val="2"/>
      <scheme val="minor"/>
    </font>
    <font>
      <sz val="12"/>
      <color rgb="FF1F1F1F"/>
      <name val="Aptos Narrow"/>
      <family val="2"/>
      <scheme val="minor"/>
    </font>
    <font>
      <sz val="12"/>
      <color rgb="FF000000"/>
      <name val="Aptos Narrow"/>
      <family val="2"/>
      <charset val="1"/>
      <scheme val="minor"/>
    </font>
    <font>
      <sz val="12"/>
      <color rgb="FF000000"/>
      <name val="Aptos Narrow"/>
      <family val="2"/>
      <scheme val="minor"/>
    </font>
    <font>
      <sz val="12"/>
      <color rgb="FF001D35"/>
      <name val="Aptos Narrow"/>
      <charset val="1"/>
      <scheme val="minor"/>
    </font>
    <font>
      <sz val="12"/>
      <color rgb="FF000000"/>
      <name val="Aptos Narrow"/>
      <scheme val="minor"/>
    </font>
    <font>
      <sz val="12"/>
      <color rgb="FF181E00"/>
      <name val="Aptos Narrow"/>
      <family val="2"/>
      <scheme val="minor"/>
    </font>
    <font>
      <sz val="12"/>
      <color rgb="FF040C28"/>
      <name val="Aptos Narrow"/>
      <family val="2"/>
      <scheme val="minor"/>
    </font>
    <font>
      <sz val="12"/>
      <name val="Aptos Narrow"/>
      <scheme val="minor"/>
    </font>
    <font>
      <sz val="12"/>
      <color rgb="FF181E00"/>
      <name val="Aptos Narrow"/>
      <family val="2"/>
      <charset val="1"/>
      <scheme val="minor"/>
    </font>
    <font>
      <sz val="12"/>
      <color rgb="FF000000"/>
      <name val="Aptos Narrow"/>
      <charset val="1"/>
      <scheme val="minor"/>
    </font>
    <font>
      <sz val="12"/>
      <color rgb="FF001D35"/>
      <name val="Aptos Narrow"/>
      <scheme val="minor"/>
    </font>
    <font>
      <sz val="12"/>
      <color rgb="FF0D0D0D"/>
      <name val="Aptos Narrow"/>
      <scheme val="minor"/>
    </font>
    <font>
      <sz val="12"/>
      <color rgb="FF001D35"/>
      <name val="Aptos Narrow"/>
      <family val="2"/>
      <scheme val="minor"/>
    </font>
    <font>
      <sz val="12"/>
      <name val="Calibri"/>
    </font>
    <font>
      <sz val="12"/>
      <color rgb="FF001D35"/>
      <name val="Calibri"/>
    </font>
    <font>
      <sz val="12"/>
      <color rgb="FF000000"/>
      <name val="Calibri"/>
    </font>
    <font>
      <sz val="12"/>
      <color rgb="FF0D0D0D"/>
      <name val="Calibri"/>
    </font>
    <font>
      <sz val="11"/>
      <color rgb="FF000000"/>
      <name val="Aptos Narrow"/>
      <family val="2"/>
      <scheme val="minor"/>
    </font>
    <font>
      <sz val="14"/>
      <color rgb="FF000000"/>
      <name val="Arial"/>
      <family val="2"/>
    </font>
    <font>
      <sz val="13.5"/>
      <color rgb="FF000000"/>
      <name val="Arial"/>
      <family val="2"/>
    </font>
    <font>
      <sz val="12"/>
      <color rgb="FF242424"/>
      <name val="Calibri"/>
      <family val="2"/>
    </font>
    <font>
      <i/>
      <sz val="12"/>
      <color rgb="FF000000"/>
      <name val="Calibri"/>
      <family val="2"/>
    </font>
    <font>
      <sz val="12"/>
      <name val="Calibri"/>
      <family val="2"/>
    </font>
    <font>
      <b/>
      <sz val="1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CC"/>
        <bgColor rgb="FF000000"/>
      </patternFill>
    </fill>
    <fill>
      <patternFill patternType="solid">
        <fgColor rgb="FFFDE9D9"/>
        <bgColor rgb="FF000000"/>
      </patternFill>
    </fill>
    <fill>
      <patternFill patternType="solid">
        <fgColor rgb="FFC5D9F1"/>
        <bgColor rgb="FF000000"/>
      </patternFill>
    </fill>
    <fill>
      <patternFill patternType="solid">
        <fgColor rgb="FFD8E4BC"/>
        <bgColor rgb="FF000000"/>
      </patternFill>
    </fill>
    <fill>
      <patternFill patternType="solid">
        <fgColor rgb="FFB1A0C7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4BD97"/>
        <bgColor rgb="FF000000"/>
      </patternFill>
    </fill>
    <fill>
      <patternFill patternType="solid">
        <fgColor rgb="FFDDD9C4"/>
        <bgColor rgb="FF000000"/>
      </patternFill>
    </fill>
  </fills>
  <borders count="5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1" fillId="2" borderId="1" xfId="0" applyFont="1" applyFill="1" applyBorder="1"/>
    <xf numFmtId="0" fontId="2" fillId="2" borderId="0" xfId="0" applyFont="1" applyFill="1"/>
    <xf numFmtId="0" fontId="1" fillId="3" borderId="1" xfId="0" applyFont="1" applyFill="1" applyBorder="1"/>
    <xf numFmtId="0" fontId="2" fillId="3" borderId="0" xfId="0" applyFont="1" applyFill="1"/>
    <xf numFmtId="0" fontId="1" fillId="4" borderId="1" xfId="0" applyFont="1" applyFill="1" applyBorder="1"/>
    <xf numFmtId="0" fontId="2" fillId="5" borderId="0" xfId="0" applyFont="1" applyFill="1"/>
    <xf numFmtId="0" fontId="2" fillId="6" borderId="0" xfId="0" applyFont="1" applyFill="1"/>
    <xf numFmtId="0" fontId="1" fillId="6" borderId="1" xfId="0" applyFont="1" applyFill="1" applyBorder="1"/>
    <xf numFmtId="0" fontId="3" fillId="0" borderId="0" xfId="0" applyFont="1"/>
    <xf numFmtId="14" fontId="3" fillId="0" borderId="0" xfId="0" applyNumberFormat="1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6" fillId="0" borderId="0" xfId="0" applyFont="1" applyAlignment="1">
      <alignment wrapText="1"/>
    </xf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15" fillId="0" borderId="0" xfId="0" applyFont="1"/>
    <xf numFmtId="0" fontId="16" fillId="0" borderId="0" xfId="0" applyFont="1"/>
    <xf numFmtId="0" fontId="17" fillId="0" borderId="0" xfId="0" applyFont="1"/>
    <xf numFmtId="0" fontId="18" fillId="0" borderId="0" xfId="0" applyFont="1"/>
    <xf numFmtId="0" fontId="19" fillId="0" borderId="0" xfId="0" applyFont="1"/>
    <xf numFmtId="0" fontId="20" fillId="0" borderId="0" xfId="0" applyFont="1"/>
    <xf numFmtId="0" fontId="21" fillId="0" borderId="0" xfId="0" applyFont="1"/>
    <xf numFmtId="0" fontId="3" fillId="0" borderId="0" xfId="0" applyFont="1" applyAlignment="1">
      <alignment horizontal="left"/>
    </xf>
    <xf numFmtId="0" fontId="22" fillId="0" borderId="0" xfId="0" applyFont="1"/>
    <xf numFmtId="0" fontId="23" fillId="0" borderId="0" xfId="0" applyFont="1"/>
    <xf numFmtId="0" fontId="24" fillId="0" borderId="0" xfId="0" applyFont="1"/>
    <xf numFmtId="0" fontId="3" fillId="7" borderId="0" xfId="0" applyFont="1" applyFill="1"/>
    <xf numFmtId="0" fontId="3" fillId="0" borderId="2" xfId="0" applyFont="1" applyBorder="1"/>
    <xf numFmtId="14" fontId="3" fillId="0" borderId="2" xfId="0" applyNumberFormat="1" applyFont="1" applyBorder="1"/>
    <xf numFmtId="14" fontId="3" fillId="0" borderId="3" xfId="0" applyNumberFormat="1" applyFont="1" applyBorder="1"/>
    <xf numFmtId="0" fontId="3" fillId="0" borderId="3" xfId="0" applyFont="1" applyBorder="1"/>
    <xf numFmtId="0" fontId="25" fillId="0" borderId="0" xfId="0" applyFont="1"/>
    <xf numFmtId="0" fontId="1" fillId="2" borderId="1" xfId="0" applyFont="1" applyFill="1" applyBorder="1" applyAlignment="1">
      <alignment vertical="top"/>
    </xf>
    <xf numFmtId="0" fontId="2" fillId="2" borderId="0" xfId="0" applyFont="1" applyFill="1" applyAlignment="1">
      <alignment vertical="top"/>
    </xf>
    <xf numFmtId="0" fontId="3" fillId="0" borderId="0" xfId="0" applyFont="1" applyAlignment="1">
      <alignment vertical="top"/>
    </xf>
    <xf numFmtId="14" fontId="3" fillId="0" borderId="0" xfId="0" applyNumberFormat="1" applyFont="1" applyAlignment="1">
      <alignment vertical="top"/>
    </xf>
    <xf numFmtId="0" fontId="0" fillId="0" borderId="0" xfId="0" applyAlignment="1">
      <alignment vertical="top"/>
    </xf>
    <xf numFmtId="0" fontId="26" fillId="0" borderId="0" xfId="0" applyFont="1"/>
    <xf numFmtId="0" fontId="27" fillId="0" borderId="0" xfId="0" applyFon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28" fillId="2" borderId="1" xfId="0" applyFont="1" applyFill="1" applyBorder="1" applyAlignment="1">
      <alignment vertical="center"/>
    </xf>
    <xf numFmtId="0" fontId="29" fillId="2" borderId="0" xfId="0" applyFont="1" applyFill="1" applyAlignment="1">
      <alignment vertical="center"/>
    </xf>
    <xf numFmtId="0" fontId="28" fillId="3" borderId="1" xfId="0" applyFont="1" applyFill="1" applyBorder="1" applyAlignment="1">
      <alignment vertical="center"/>
    </xf>
    <xf numFmtId="0" fontId="29" fillId="3" borderId="0" xfId="0" applyFont="1" applyFill="1" applyAlignment="1">
      <alignment vertical="center"/>
    </xf>
    <xf numFmtId="0" fontId="28" fillId="4" borderId="1" xfId="0" applyFont="1" applyFill="1" applyBorder="1" applyAlignment="1">
      <alignment vertical="center"/>
    </xf>
    <xf numFmtId="0" fontId="29" fillId="5" borderId="0" xfId="0" applyFont="1" applyFill="1" applyAlignment="1">
      <alignment vertical="center"/>
    </xf>
    <xf numFmtId="0" fontId="29" fillId="6" borderId="0" xfId="0" applyFont="1" applyFill="1" applyAlignment="1">
      <alignment vertical="center"/>
    </xf>
    <xf numFmtId="0" fontId="28" fillId="6" borderId="1" xfId="0" applyFont="1" applyFill="1" applyBorder="1" applyAlignment="1">
      <alignment vertical="center"/>
    </xf>
    <xf numFmtId="0" fontId="22" fillId="7" borderId="0" xfId="0" applyFont="1" applyFill="1" applyAlignment="1">
      <alignment vertical="center"/>
    </xf>
    <xf numFmtId="14" fontId="22" fillId="7" borderId="0" xfId="0" applyNumberFormat="1" applyFont="1" applyFill="1" applyAlignment="1">
      <alignment vertical="center"/>
    </xf>
    <xf numFmtId="0" fontId="22" fillId="0" borderId="0" xfId="0" applyFont="1" applyAlignment="1">
      <alignment vertical="center"/>
    </xf>
    <xf numFmtId="0" fontId="22" fillId="7" borderId="0" xfId="0" applyFont="1" applyFill="1"/>
    <xf numFmtId="14" fontId="22" fillId="0" borderId="0" xfId="0" applyNumberFormat="1" applyFont="1" applyAlignment="1">
      <alignment vertical="center"/>
    </xf>
    <xf numFmtId="0" fontId="22" fillId="0" borderId="4" xfId="0" applyFont="1" applyBorder="1" applyAlignment="1">
      <alignment vertical="center"/>
    </xf>
    <xf numFmtId="0" fontId="22" fillId="8" borderId="4" xfId="0" applyFont="1" applyFill="1" applyBorder="1" applyAlignment="1">
      <alignment vertical="center"/>
    </xf>
    <xf numFmtId="0" fontId="22" fillId="9" borderId="0" xfId="0" applyFont="1" applyFill="1" applyAlignment="1">
      <alignment vertical="center"/>
    </xf>
    <xf numFmtId="0" fontId="30" fillId="0" borderId="0" xfId="0" applyFon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B3A80-DA45-4F78-A666-6CCCB1D03B87}">
  <dimension ref="A1:AJ240"/>
  <sheetViews>
    <sheetView topLeftCell="M1" zoomScale="82" workbookViewId="0">
      <selection activeCell="V25" sqref="V25"/>
    </sheetView>
  </sheetViews>
  <sheetFormatPr defaultRowHeight="14.4" x14ac:dyDescent="0.3"/>
  <cols>
    <col min="1" max="1" width="8.21875" bestFit="1" customWidth="1"/>
    <col min="2" max="2" width="13.21875" bestFit="1" customWidth="1"/>
    <col min="3" max="3" width="19" hidden="1" customWidth="1"/>
    <col min="4" max="4" width="11.6640625" hidden="1" customWidth="1"/>
    <col min="5" max="5" width="9.109375" bestFit="1" customWidth="1"/>
    <col min="6" max="6" width="14.33203125" bestFit="1" customWidth="1"/>
    <col min="7" max="7" width="27" bestFit="1" customWidth="1"/>
    <col min="8" max="8" width="27.77734375" bestFit="1" customWidth="1"/>
    <col min="9" max="9" width="11" bestFit="1" customWidth="1"/>
    <col min="10" max="10" width="16" bestFit="1" customWidth="1"/>
    <col min="11" max="11" width="18" bestFit="1" customWidth="1"/>
    <col min="12" max="12" width="18" hidden="1" customWidth="1"/>
    <col min="13" max="13" width="22.5546875" bestFit="1" customWidth="1"/>
    <col min="14" max="14" width="17" bestFit="1" customWidth="1"/>
    <col min="15" max="15" width="11.88671875" hidden="1" customWidth="1"/>
    <col min="16" max="16" width="13.6640625" hidden="1" customWidth="1"/>
    <col min="17" max="17" width="14.5546875" hidden="1" customWidth="1"/>
    <col min="18" max="18" width="11.88671875" hidden="1" customWidth="1"/>
    <col min="19" max="19" width="13.5546875" hidden="1" customWidth="1"/>
    <col min="20" max="20" width="15.33203125" hidden="1" customWidth="1"/>
    <col min="21" max="21" width="12.88671875" hidden="1" customWidth="1"/>
    <col min="22" max="22" width="22.109375" bestFit="1" customWidth="1"/>
    <col min="23" max="23" width="6.6640625" bestFit="1" customWidth="1"/>
    <col min="24" max="24" width="18.5546875" bestFit="1" customWidth="1"/>
    <col min="25" max="25" width="21" bestFit="1" customWidth="1"/>
    <col min="26" max="26" width="22.5546875" bestFit="1" customWidth="1"/>
    <col min="27" max="27" width="6.6640625" bestFit="1" customWidth="1"/>
    <col min="28" max="28" width="18.5546875" bestFit="1" customWidth="1"/>
    <col min="33" max="33" width="23.77734375" bestFit="1" customWidth="1"/>
  </cols>
  <sheetData>
    <row r="1" spans="1:36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3" t="s">
        <v>8</v>
      </c>
      <c r="J1" s="4" t="s">
        <v>9</v>
      </c>
      <c r="K1" s="4" t="s">
        <v>10</v>
      </c>
      <c r="L1" s="4"/>
      <c r="M1" s="4" t="s">
        <v>11</v>
      </c>
      <c r="N1" s="4" t="s">
        <v>12</v>
      </c>
      <c r="O1" s="4" t="s">
        <v>13</v>
      </c>
      <c r="P1" s="4" t="s">
        <v>14</v>
      </c>
      <c r="Q1" s="5" t="s">
        <v>15</v>
      </c>
      <c r="R1" s="6" t="s">
        <v>16</v>
      </c>
      <c r="S1" s="6" t="s">
        <v>17</v>
      </c>
      <c r="T1" s="7" t="s">
        <v>18</v>
      </c>
      <c r="U1" s="8" t="s">
        <v>19</v>
      </c>
      <c r="AH1" t="s">
        <v>1192</v>
      </c>
      <c r="AI1" t="s">
        <v>1193</v>
      </c>
    </row>
    <row r="2" spans="1:36" ht="15.6" x14ac:dyDescent="0.3">
      <c r="A2" s="9" t="s">
        <v>20</v>
      </c>
      <c r="B2" s="9" t="s">
        <v>21</v>
      </c>
      <c r="C2" s="9" t="s">
        <v>22</v>
      </c>
      <c r="D2" s="10">
        <v>45910</v>
      </c>
      <c r="E2" s="9" t="s">
        <v>23</v>
      </c>
      <c r="F2" s="11" t="s">
        <v>24</v>
      </c>
      <c r="G2" s="12" t="s">
        <v>25</v>
      </c>
      <c r="H2" s="9" t="s">
        <v>26</v>
      </c>
      <c r="I2" s="9" t="s">
        <v>27</v>
      </c>
      <c r="J2" s="9">
        <v>1</v>
      </c>
      <c r="K2" s="13">
        <v>100</v>
      </c>
      <c r="L2" s="13">
        <f>K2/100</f>
        <v>1</v>
      </c>
      <c r="M2" s="9" t="s">
        <v>28</v>
      </c>
      <c r="N2" s="9" t="s">
        <v>29</v>
      </c>
      <c r="O2" s="9" t="s">
        <v>30</v>
      </c>
      <c r="P2" s="9" t="s">
        <v>31</v>
      </c>
      <c r="Q2" s="9"/>
      <c r="R2" s="9"/>
      <c r="S2" s="9"/>
      <c r="T2" s="9" t="s">
        <v>32</v>
      </c>
      <c r="U2" s="9" t="s">
        <v>33</v>
      </c>
      <c r="V2" t="s">
        <v>519</v>
      </c>
      <c r="W2" s="31" t="s">
        <v>520</v>
      </c>
      <c r="X2" s="31" t="s">
        <v>1163</v>
      </c>
      <c r="Y2" t="s">
        <v>1164</v>
      </c>
      <c r="Z2" t="s">
        <v>521</v>
      </c>
      <c r="AA2" t="s">
        <v>520</v>
      </c>
      <c r="AB2" s="31" t="s">
        <v>1163</v>
      </c>
      <c r="AC2" t="s">
        <v>1164</v>
      </c>
      <c r="AG2" t="s">
        <v>43</v>
      </c>
      <c r="AH2">
        <f>COUNTIF(V$3:V$26, AG2)</f>
        <v>1</v>
      </c>
      <c r="AI2">
        <f>COUNTIF(Z$3:Z$20, AG2)</f>
        <v>1</v>
      </c>
      <c r="AJ2">
        <f>IF(AI2=AH2,1)</f>
        <v>1</v>
      </c>
    </row>
    <row r="3" spans="1:36" ht="15.6" x14ac:dyDescent="0.3">
      <c r="A3" s="9" t="s">
        <v>34</v>
      </c>
      <c r="B3" s="9" t="s">
        <v>35</v>
      </c>
      <c r="C3" s="9" t="s">
        <v>22</v>
      </c>
      <c r="D3" s="10">
        <v>45910</v>
      </c>
      <c r="E3" s="9" t="s">
        <v>23</v>
      </c>
      <c r="F3" s="11" t="s">
        <v>36</v>
      </c>
      <c r="G3" s="14" t="s">
        <v>37</v>
      </c>
      <c r="H3" s="9" t="s">
        <v>38</v>
      </c>
      <c r="I3" s="9" t="s">
        <v>27</v>
      </c>
      <c r="J3" s="9">
        <v>1</v>
      </c>
      <c r="K3" s="13">
        <v>20</v>
      </c>
      <c r="L3" s="13">
        <f t="shared" ref="L3:L66" si="0">K3/100</f>
        <v>0.2</v>
      </c>
      <c r="M3" s="9" t="s">
        <v>28</v>
      </c>
      <c r="N3" s="9" t="s">
        <v>29</v>
      </c>
      <c r="O3" s="9" t="s">
        <v>39</v>
      </c>
      <c r="P3" s="9" t="s">
        <v>40</v>
      </c>
      <c r="Q3" s="9"/>
      <c r="R3" s="9"/>
      <c r="S3" s="9"/>
      <c r="T3" s="9" t="s">
        <v>32</v>
      </c>
      <c r="U3" s="9" t="s">
        <v>33</v>
      </c>
      <c r="V3" t="s">
        <v>43</v>
      </c>
      <c r="W3">
        <f t="shared" ref="W3:W26" si="1">COUNTIF(G$2:G$138, V3)</f>
        <v>2</v>
      </c>
      <c r="X3">
        <f t="shared" ref="X3:X26" si="2">SUMIF($G$2:$G$138, V3, $K$2:$K$138)</f>
        <v>60</v>
      </c>
      <c r="Y3">
        <f t="shared" ref="Y3:Y26" si="3">X3/W3</f>
        <v>30</v>
      </c>
      <c r="Z3" t="s">
        <v>43</v>
      </c>
      <c r="AA3">
        <f t="shared" ref="AA3:AA20" si="4">COUNTIF(G$139:G$239, Z3)</f>
        <v>7</v>
      </c>
      <c r="AB3">
        <f t="shared" ref="AB3:AB20" si="5">SUMIF($G$139:$G$239, Z3, $K$139:$K$239)</f>
        <v>26</v>
      </c>
      <c r="AC3">
        <f t="shared" ref="AC3:AC20" si="6">AB3/AA3</f>
        <v>3.7142857142857144</v>
      </c>
      <c r="AG3" t="s">
        <v>358</v>
      </c>
      <c r="AH3">
        <f t="shared" ref="AH3:AH36" si="7">COUNTIF(V$3:V$26, AG3)</f>
        <v>0</v>
      </c>
      <c r="AI3">
        <f t="shared" ref="AI3:AI36" si="8">COUNTIF(Z$3:Z$20, AG3)</f>
        <v>1</v>
      </c>
      <c r="AJ3" t="b">
        <f t="shared" ref="AJ3:AJ36" si="9">IF(AI3=AH3,1)</f>
        <v>0</v>
      </c>
    </row>
    <row r="4" spans="1:36" ht="15.6" x14ac:dyDescent="0.3">
      <c r="A4" s="9" t="s">
        <v>34</v>
      </c>
      <c r="B4" s="9" t="s">
        <v>41</v>
      </c>
      <c r="C4" s="9" t="s">
        <v>22</v>
      </c>
      <c r="D4" s="10">
        <v>45910</v>
      </c>
      <c r="E4" s="9" t="s">
        <v>23</v>
      </c>
      <c r="F4" s="9" t="s">
        <v>42</v>
      </c>
      <c r="G4" s="14" t="s">
        <v>43</v>
      </c>
      <c r="H4" s="9" t="s">
        <v>44</v>
      </c>
      <c r="I4" s="9" t="s">
        <v>27</v>
      </c>
      <c r="J4" s="9">
        <v>1</v>
      </c>
      <c r="K4" s="13">
        <v>50</v>
      </c>
      <c r="L4" s="13">
        <f t="shared" si="0"/>
        <v>0.5</v>
      </c>
      <c r="M4" s="9" t="s">
        <v>28</v>
      </c>
      <c r="N4" s="9" t="s">
        <v>29</v>
      </c>
      <c r="O4" s="9" t="s">
        <v>39</v>
      </c>
      <c r="P4" s="9" t="s">
        <v>40</v>
      </c>
      <c r="Q4" s="9"/>
      <c r="R4" s="9"/>
      <c r="S4" s="9"/>
      <c r="T4" s="9" t="s">
        <v>32</v>
      </c>
      <c r="U4" s="9" t="s">
        <v>33</v>
      </c>
      <c r="V4" t="s">
        <v>231</v>
      </c>
      <c r="W4">
        <f t="shared" si="1"/>
        <v>4</v>
      </c>
      <c r="X4">
        <f t="shared" si="2"/>
        <v>100</v>
      </c>
      <c r="Y4">
        <f t="shared" si="3"/>
        <v>25</v>
      </c>
      <c r="Z4" t="s">
        <v>358</v>
      </c>
      <c r="AA4">
        <f t="shared" si="4"/>
        <v>6</v>
      </c>
      <c r="AB4">
        <f t="shared" si="5"/>
        <v>107</v>
      </c>
      <c r="AC4">
        <f t="shared" si="6"/>
        <v>17.833333333333332</v>
      </c>
      <c r="AG4" t="s">
        <v>261</v>
      </c>
      <c r="AH4">
        <f t="shared" si="7"/>
        <v>1</v>
      </c>
      <c r="AI4">
        <f t="shared" si="8"/>
        <v>1</v>
      </c>
      <c r="AJ4">
        <f t="shared" si="9"/>
        <v>1</v>
      </c>
    </row>
    <row r="5" spans="1:36" ht="15.6" x14ac:dyDescent="0.3">
      <c r="A5" s="9" t="s">
        <v>34</v>
      </c>
      <c r="B5" s="9" t="s">
        <v>45</v>
      </c>
      <c r="C5" s="9" t="s">
        <v>22</v>
      </c>
      <c r="D5" s="10">
        <v>45910</v>
      </c>
      <c r="E5" s="9" t="s">
        <v>23</v>
      </c>
      <c r="F5" s="11" t="s">
        <v>24</v>
      </c>
      <c r="G5" s="12" t="s">
        <v>25</v>
      </c>
      <c r="H5" s="9" t="s">
        <v>26</v>
      </c>
      <c r="I5" s="9" t="s">
        <v>27</v>
      </c>
      <c r="J5" s="9">
        <v>1</v>
      </c>
      <c r="K5" s="15">
        <v>100</v>
      </c>
      <c r="L5" s="13">
        <f t="shared" si="0"/>
        <v>1</v>
      </c>
      <c r="M5" s="9" t="s">
        <v>28</v>
      </c>
      <c r="N5" s="9" t="s">
        <v>29</v>
      </c>
      <c r="O5" s="9" t="s">
        <v>39</v>
      </c>
      <c r="P5" s="9" t="s">
        <v>40</v>
      </c>
      <c r="Q5" s="9"/>
      <c r="R5" s="9"/>
      <c r="S5" s="9"/>
      <c r="T5" s="9" t="s">
        <v>32</v>
      </c>
      <c r="U5" s="9" t="s">
        <v>33</v>
      </c>
      <c r="V5" t="s">
        <v>167</v>
      </c>
      <c r="W5">
        <f t="shared" si="1"/>
        <v>10</v>
      </c>
      <c r="X5">
        <f t="shared" si="2"/>
        <v>548</v>
      </c>
      <c r="Y5">
        <f t="shared" si="3"/>
        <v>54.8</v>
      </c>
      <c r="Z5" t="s">
        <v>261</v>
      </c>
      <c r="AA5">
        <f t="shared" si="4"/>
        <v>5</v>
      </c>
      <c r="AB5">
        <f t="shared" si="5"/>
        <v>62</v>
      </c>
      <c r="AC5">
        <f t="shared" si="6"/>
        <v>12.4</v>
      </c>
      <c r="AG5" t="s">
        <v>394</v>
      </c>
      <c r="AH5">
        <f t="shared" si="7"/>
        <v>0</v>
      </c>
      <c r="AI5">
        <f t="shared" si="8"/>
        <v>1</v>
      </c>
      <c r="AJ5" t="b">
        <f t="shared" si="9"/>
        <v>0</v>
      </c>
    </row>
    <row r="6" spans="1:36" ht="15.6" x14ac:dyDescent="0.3">
      <c r="A6" s="9" t="s">
        <v>34</v>
      </c>
      <c r="B6" s="9" t="s">
        <v>46</v>
      </c>
      <c r="C6" s="9" t="s">
        <v>22</v>
      </c>
      <c r="D6" s="10">
        <v>45910</v>
      </c>
      <c r="E6" s="9" t="s">
        <v>23</v>
      </c>
      <c r="F6" s="11" t="s">
        <v>47</v>
      </c>
      <c r="G6" s="16" t="s">
        <v>48</v>
      </c>
      <c r="H6" s="16" t="s">
        <v>49</v>
      </c>
      <c r="I6" s="9" t="s">
        <v>27</v>
      </c>
      <c r="J6" s="9">
        <v>1</v>
      </c>
      <c r="K6" s="13">
        <v>50</v>
      </c>
      <c r="L6" s="13">
        <f t="shared" si="0"/>
        <v>0.5</v>
      </c>
      <c r="M6" s="9" t="s">
        <v>28</v>
      </c>
      <c r="N6" s="9" t="s">
        <v>29</v>
      </c>
      <c r="O6" s="9" t="s">
        <v>39</v>
      </c>
      <c r="P6" s="9" t="s">
        <v>40</v>
      </c>
      <c r="Q6" s="9"/>
      <c r="R6" s="9"/>
      <c r="S6" s="9"/>
      <c r="T6" s="9" t="s">
        <v>32</v>
      </c>
      <c r="U6" s="9" t="s">
        <v>33</v>
      </c>
      <c r="V6" t="s">
        <v>125</v>
      </c>
      <c r="W6">
        <f t="shared" si="1"/>
        <v>8</v>
      </c>
      <c r="X6">
        <f t="shared" si="2"/>
        <v>605</v>
      </c>
      <c r="Y6">
        <f t="shared" si="3"/>
        <v>75.625</v>
      </c>
      <c r="Z6" t="s">
        <v>394</v>
      </c>
      <c r="AA6">
        <f t="shared" si="4"/>
        <v>6</v>
      </c>
      <c r="AB6">
        <f t="shared" si="5"/>
        <v>160</v>
      </c>
      <c r="AC6">
        <f t="shared" si="6"/>
        <v>26.666666666666668</v>
      </c>
      <c r="AG6" t="s">
        <v>171</v>
      </c>
      <c r="AH6">
        <f t="shared" si="7"/>
        <v>1</v>
      </c>
      <c r="AI6">
        <f t="shared" si="8"/>
        <v>1</v>
      </c>
      <c r="AJ6">
        <f t="shared" si="9"/>
        <v>1</v>
      </c>
    </row>
    <row r="7" spans="1:36" ht="15.6" x14ac:dyDescent="0.3">
      <c r="A7" s="9" t="s">
        <v>50</v>
      </c>
      <c r="B7" s="9" t="s">
        <v>51</v>
      </c>
      <c r="C7" s="9" t="s">
        <v>22</v>
      </c>
      <c r="D7" s="10">
        <v>45910</v>
      </c>
      <c r="E7" s="9" t="s">
        <v>23</v>
      </c>
      <c r="F7" s="11" t="s">
        <v>24</v>
      </c>
      <c r="G7" s="12" t="s">
        <v>25</v>
      </c>
      <c r="H7" s="9" t="s">
        <v>26</v>
      </c>
      <c r="I7" s="9" t="s">
        <v>27</v>
      </c>
      <c r="J7" s="9">
        <v>1</v>
      </c>
      <c r="K7" s="13">
        <v>100</v>
      </c>
      <c r="L7" s="13">
        <f t="shared" si="0"/>
        <v>1</v>
      </c>
      <c r="M7" s="9" t="s">
        <v>28</v>
      </c>
      <c r="N7" s="9" t="s">
        <v>29</v>
      </c>
      <c r="O7" s="9" t="s">
        <v>52</v>
      </c>
      <c r="P7" s="9" t="s">
        <v>53</v>
      </c>
      <c r="Q7" s="9"/>
      <c r="R7" s="9"/>
      <c r="S7" s="9"/>
      <c r="T7" s="9" t="s">
        <v>32</v>
      </c>
      <c r="U7" s="9" t="s">
        <v>33</v>
      </c>
      <c r="V7" t="s">
        <v>998</v>
      </c>
      <c r="W7">
        <f t="shared" si="1"/>
        <v>1</v>
      </c>
      <c r="X7">
        <f t="shared" si="2"/>
        <v>5</v>
      </c>
      <c r="Y7">
        <f t="shared" si="3"/>
        <v>5</v>
      </c>
      <c r="Z7" t="s">
        <v>171</v>
      </c>
      <c r="AA7">
        <f t="shared" si="4"/>
        <v>10</v>
      </c>
      <c r="AB7">
        <f t="shared" si="5"/>
        <v>60</v>
      </c>
      <c r="AC7">
        <f t="shared" si="6"/>
        <v>6</v>
      </c>
      <c r="AG7" t="s">
        <v>203</v>
      </c>
      <c r="AH7">
        <f t="shared" si="7"/>
        <v>1</v>
      </c>
      <c r="AI7">
        <f t="shared" si="8"/>
        <v>1</v>
      </c>
      <c r="AJ7">
        <f t="shared" si="9"/>
        <v>1</v>
      </c>
    </row>
    <row r="8" spans="1:36" ht="15.6" x14ac:dyDescent="0.3">
      <c r="A8" s="9" t="s">
        <v>50</v>
      </c>
      <c r="B8" s="9" t="s">
        <v>54</v>
      </c>
      <c r="C8" s="9" t="s">
        <v>22</v>
      </c>
      <c r="D8" s="10">
        <v>45910</v>
      </c>
      <c r="E8" s="9" t="s">
        <v>23</v>
      </c>
      <c r="F8" s="11" t="s">
        <v>47</v>
      </c>
      <c r="G8" s="16" t="s">
        <v>48</v>
      </c>
      <c r="H8" s="16" t="s">
        <v>49</v>
      </c>
      <c r="I8" s="9" t="s">
        <v>27</v>
      </c>
      <c r="J8" s="9">
        <v>1</v>
      </c>
      <c r="K8" s="13">
        <v>60</v>
      </c>
      <c r="L8" s="13">
        <f t="shared" si="0"/>
        <v>0.6</v>
      </c>
      <c r="M8" s="9" t="s">
        <v>28</v>
      </c>
      <c r="N8" s="9" t="s">
        <v>29</v>
      </c>
      <c r="O8" s="9" t="s">
        <v>52</v>
      </c>
      <c r="P8" s="9" t="s">
        <v>53</v>
      </c>
      <c r="Q8" s="9"/>
      <c r="R8" s="9"/>
      <c r="S8" s="9"/>
      <c r="T8" s="9" t="s">
        <v>32</v>
      </c>
      <c r="U8" s="9" t="s">
        <v>33</v>
      </c>
      <c r="V8" t="s">
        <v>261</v>
      </c>
      <c r="W8">
        <f t="shared" si="1"/>
        <v>2</v>
      </c>
      <c r="X8">
        <f t="shared" si="2"/>
        <v>170</v>
      </c>
      <c r="Y8">
        <f t="shared" si="3"/>
        <v>85</v>
      </c>
      <c r="Z8" t="s">
        <v>203</v>
      </c>
      <c r="AA8">
        <f t="shared" si="4"/>
        <v>2</v>
      </c>
      <c r="AB8">
        <f t="shared" si="5"/>
        <v>70</v>
      </c>
      <c r="AC8">
        <f t="shared" si="6"/>
        <v>35</v>
      </c>
      <c r="AG8" t="s">
        <v>338</v>
      </c>
      <c r="AH8">
        <f t="shared" si="7"/>
        <v>0</v>
      </c>
      <c r="AI8">
        <f t="shared" si="8"/>
        <v>1</v>
      </c>
      <c r="AJ8" t="b">
        <f t="shared" si="9"/>
        <v>0</v>
      </c>
    </row>
    <row r="9" spans="1:36" ht="15.6" x14ac:dyDescent="0.3">
      <c r="A9" s="9" t="s">
        <v>50</v>
      </c>
      <c r="B9" s="9" t="s">
        <v>55</v>
      </c>
      <c r="C9" s="9" t="s">
        <v>22</v>
      </c>
      <c r="D9" s="10">
        <v>45910</v>
      </c>
      <c r="E9" s="9" t="s">
        <v>23</v>
      </c>
      <c r="F9" s="11" t="s">
        <v>36</v>
      </c>
      <c r="G9" s="14" t="s">
        <v>37</v>
      </c>
      <c r="H9" s="9" t="s">
        <v>38</v>
      </c>
      <c r="I9" s="9" t="s">
        <v>27</v>
      </c>
      <c r="J9" s="9">
        <v>1</v>
      </c>
      <c r="K9" s="13">
        <v>10</v>
      </c>
      <c r="L9" s="13">
        <f t="shared" si="0"/>
        <v>0.1</v>
      </c>
      <c r="M9" s="9" t="s">
        <v>28</v>
      </c>
      <c r="N9" s="9" t="s">
        <v>29</v>
      </c>
      <c r="O9" s="9" t="s">
        <v>52</v>
      </c>
      <c r="P9" s="9" t="s">
        <v>53</v>
      </c>
      <c r="Q9" s="9"/>
      <c r="R9" s="9"/>
      <c r="S9" s="9"/>
      <c r="T9" s="9" t="s">
        <v>32</v>
      </c>
      <c r="U9" s="9" t="s">
        <v>33</v>
      </c>
      <c r="V9" t="s">
        <v>144</v>
      </c>
      <c r="W9">
        <f t="shared" si="1"/>
        <v>2</v>
      </c>
      <c r="X9">
        <f t="shared" si="2"/>
        <v>20</v>
      </c>
      <c r="Y9">
        <f t="shared" si="3"/>
        <v>10</v>
      </c>
      <c r="Z9" t="s">
        <v>338</v>
      </c>
      <c r="AA9">
        <f t="shared" si="4"/>
        <v>1</v>
      </c>
      <c r="AB9">
        <f t="shared" si="5"/>
        <v>40</v>
      </c>
      <c r="AC9">
        <f t="shared" si="6"/>
        <v>40</v>
      </c>
      <c r="AG9" t="s">
        <v>378</v>
      </c>
      <c r="AH9">
        <f t="shared" si="7"/>
        <v>0</v>
      </c>
      <c r="AI9">
        <f t="shared" si="8"/>
        <v>1</v>
      </c>
      <c r="AJ9" t="b">
        <f t="shared" si="9"/>
        <v>0</v>
      </c>
    </row>
    <row r="10" spans="1:36" ht="15.6" x14ac:dyDescent="0.3">
      <c r="A10" s="9" t="s">
        <v>50</v>
      </c>
      <c r="B10" s="9" t="s">
        <v>56</v>
      </c>
      <c r="C10" s="9" t="s">
        <v>22</v>
      </c>
      <c r="D10" s="10">
        <v>45910</v>
      </c>
      <c r="E10" s="9" t="s">
        <v>23</v>
      </c>
      <c r="F10" s="11" t="s">
        <v>57</v>
      </c>
      <c r="G10" s="14" t="s">
        <v>58</v>
      </c>
      <c r="H10" s="9" t="s">
        <v>59</v>
      </c>
      <c r="I10" s="9" t="s">
        <v>27</v>
      </c>
      <c r="J10" s="9">
        <v>1</v>
      </c>
      <c r="K10" s="13">
        <v>100</v>
      </c>
      <c r="L10" s="13">
        <f t="shared" si="0"/>
        <v>1</v>
      </c>
      <c r="M10" s="9" t="s">
        <v>28</v>
      </c>
      <c r="N10" s="9" t="s">
        <v>29</v>
      </c>
      <c r="O10" s="9" t="s">
        <v>52</v>
      </c>
      <c r="P10" s="9" t="s">
        <v>53</v>
      </c>
      <c r="Q10" s="9"/>
      <c r="R10" s="9"/>
      <c r="S10" s="9"/>
      <c r="T10" s="9" t="s">
        <v>32</v>
      </c>
      <c r="U10" s="9" t="s">
        <v>33</v>
      </c>
      <c r="V10" t="s">
        <v>177</v>
      </c>
      <c r="W10">
        <f t="shared" si="1"/>
        <v>1</v>
      </c>
      <c r="X10">
        <f t="shared" si="2"/>
        <v>5</v>
      </c>
      <c r="Y10">
        <f t="shared" si="3"/>
        <v>5</v>
      </c>
      <c r="Z10" t="s">
        <v>378</v>
      </c>
      <c r="AA10">
        <f t="shared" si="4"/>
        <v>1</v>
      </c>
      <c r="AB10">
        <f t="shared" si="5"/>
        <v>10</v>
      </c>
      <c r="AC10">
        <f t="shared" si="6"/>
        <v>10</v>
      </c>
      <c r="AG10" t="s">
        <v>318</v>
      </c>
      <c r="AH10">
        <f t="shared" si="7"/>
        <v>0</v>
      </c>
      <c r="AI10">
        <f t="shared" si="8"/>
        <v>1</v>
      </c>
      <c r="AJ10" t="b">
        <f t="shared" si="9"/>
        <v>0</v>
      </c>
    </row>
    <row r="11" spans="1:36" ht="15.6" x14ac:dyDescent="0.3">
      <c r="A11" s="9" t="s">
        <v>50</v>
      </c>
      <c r="B11" s="9" t="s">
        <v>60</v>
      </c>
      <c r="C11" s="9" t="s">
        <v>22</v>
      </c>
      <c r="D11" s="10">
        <v>45910</v>
      </c>
      <c r="E11" s="9" t="s">
        <v>23</v>
      </c>
      <c r="F11" s="11" t="s">
        <v>61</v>
      </c>
      <c r="G11" s="14" t="s">
        <v>62</v>
      </c>
      <c r="H11" s="9" t="s">
        <v>63</v>
      </c>
      <c r="I11" s="9" t="s">
        <v>27</v>
      </c>
      <c r="J11" s="9">
        <v>1</v>
      </c>
      <c r="K11" s="13">
        <v>15</v>
      </c>
      <c r="L11" s="13">
        <f t="shared" si="0"/>
        <v>0.15</v>
      </c>
      <c r="M11" s="9" t="s">
        <v>28</v>
      </c>
      <c r="N11" s="9" t="s">
        <v>29</v>
      </c>
      <c r="O11" s="9" t="s">
        <v>52</v>
      </c>
      <c r="P11" s="9" t="s">
        <v>53</v>
      </c>
      <c r="Q11" s="9"/>
      <c r="R11" s="9"/>
      <c r="S11" s="9"/>
      <c r="T11" s="9" t="s">
        <v>32</v>
      </c>
      <c r="U11" s="9" t="s">
        <v>33</v>
      </c>
      <c r="V11" t="s">
        <v>130</v>
      </c>
      <c r="W11">
        <f t="shared" si="1"/>
        <v>9</v>
      </c>
      <c r="X11">
        <f t="shared" si="2"/>
        <v>195</v>
      </c>
      <c r="Y11">
        <f t="shared" si="3"/>
        <v>21.666666666666668</v>
      </c>
      <c r="Z11" t="s">
        <v>318</v>
      </c>
      <c r="AA11">
        <f t="shared" si="4"/>
        <v>25</v>
      </c>
      <c r="AB11">
        <f t="shared" si="5"/>
        <v>2150</v>
      </c>
      <c r="AC11">
        <f t="shared" si="6"/>
        <v>86</v>
      </c>
      <c r="AG11" t="s">
        <v>482</v>
      </c>
      <c r="AH11">
        <f t="shared" si="7"/>
        <v>0</v>
      </c>
      <c r="AI11">
        <f t="shared" si="8"/>
        <v>1</v>
      </c>
      <c r="AJ11" t="b">
        <f t="shared" si="9"/>
        <v>0</v>
      </c>
    </row>
    <row r="12" spans="1:36" ht="15.6" x14ac:dyDescent="0.3">
      <c r="A12" s="9" t="s">
        <v>64</v>
      </c>
      <c r="B12" s="9" t="s">
        <v>65</v>
      </c>
      <c r="C12" s="9" t="s">
        <v>22</v>
      </c>
      <c r="D12" s="10">
        <v>45910</v>
      </c>
      <c r="E12" s="9" t="s">
        <v>23</v>
      </c>
      <c r="F12" s="11" t="s">
        <v>66</v>
      </c>
      <c r="G12" s="14" t="s">
        <v>67</v>
      </c>
      <c r="H12" s="9" t="s">
        <v>68</v>
      </c>
      <c r="I12" s="9" t="s">
        <v>27</v>
      </c>
      <c r="J12" s="9">
        <v>1</v>
      </c>
      <c r="K12" s="13">
        <v>20</v>
      </c>
      <c r="L12" s="13">
        <f t="shared" si="0"/>
        <v>0.2</v>
      </c>
      <c r="M12" s="9" t="s">
        <v>28</v>
      </c>
      <c r="N12" s="9" t="s">
        <v>29</v>
      </c>
      <c r="O12" s="9" t="s">
        <v>69</v>
      </c>
      <c r="P12" s="9" t="s">
        <v>70</v>
      </c>
      <c r="Q12" s="9"/>
      <c r="R12" s="9"/>
      <c r="S12" s="9"/>
      <c r="T12" s="9" t="s">
        <v>32</v>
      </c>
      <c r="U12" s="9" t="s">
        <v>33</v>
      </c>
      <c r="V12" t="s">
        <v>48</v>
      </c>
      <c r="W12">
        <f t="shared" si="1"/>
        <v>17</v>
      </c>
      <c r="X12">
        <f t="shared" si="2"/>
        <v>1045</v>
      </c>
      <c r="Y12">
        <f t="shared" si="3"/>
        <v>61.470588235294116</v>
      </c>
      <c r="Z12" t="s">
        <v>482</v>
      </c>
      <c r="AA12">
        <f t="shared" si="4"/>
        <v>2</v>
      </c>
      <c r="AB12">
        <f t="shared" si="5"/>
        <v>55</v>
      </c>
      <c r="AC12">
        <f t="shared" si="6"/>
        <v>27.5</v>
      </c>
      <c r="AG12" t="s">
        <v>101</v>
      </c>
      <c r="AH12">
        <f t="shared" si="7"/>
        <v>1</v>
      </c>
      <c r="AI12">
        <f t="shared" si="8"/>
        <v>1</v>
      </c>
      <c r="AJ12">
        <f t="shared" si="9"/>
        <v>1</v>
      </c>
    </row>
    <row r="13" spans="1:36" ht="15.6" x14ac:dyDescent="0.3">
      <c r="A13" s="9" t="s">
        <v>64</v>
      </c>
      <c r="B13" s="9" t="s">
        <v>71</v>
      </c>
      <c r="C13" s="9" t="s">
        <v>22</v>
      </c>
      <c r="D13" s="10">
        <v>45910</v>
      </c>
      <c r="E13" s="9" t="s">
        <v>23</v>
      </c>
      <c r="F13" s="11" t="s">
        <v>24</v>
      </c>
      <c r="G13" s="12" t="s">
        <v>25</v>
      </c>
      <c r="H13" s="9" t="s">
        <v>26</v>
      </c>
      <c r="I13" s="9" t="s">
        <v>27</v>
      </c>
      <c r="J13" s="9">
        <v>1</v>
      </c>
      <c r="K13" s="13">
        <v>100</v>
      </c>
      <c r="L13" s="13">
        <f t="shared" si="0"/>
        <v>1</v>
      </c>
      <c r="M13" s="9" t="s">
        <v>28</v>
      </c>
      <c r="N13" s="9" t="s">
        <v>29</v>
      </c>
      <c r="O13" s="9" t="s">
        <v>69</v>
      </c>
      <c r="P13" s="9" t="s">
        <v>70</v>
      </c>
      <c r="Q13" s="9"/>
      <c r="R13" s="9"/>
      <c r="S13" s="9"/>
      <c r="T13" s="9" t="s">
        <v>32</v>
      </c>
      <c r="U13" s="9" t="s">
        <v>33</v>
      </c>
      <c r="V13" t="s">
        <v>171</v>
      </c>
      <c r="W13">
        <f t="shared" si="1"/>
        <v>11</v>
      </c>
      <c r="X13">
        <f t="shared" si="2"/>
        <v>273</v>
      </c>
      <c r="Y13">
        <f t="shared" si="3"/>
        <v>24.818181818181817</v>
      </c>
      <c r="Z13" t="s">
        <v>101</v>
      </c>
      <c r="AA13">
        <f t="shared" si="4"/>
        <v>14</v>
      </c>
      <c r="AB13">
        <f t="shared" si="5"/>
        <v>206</v>
      </c>
      <c r="AC13">
        <f t="shared" si="6"/>
        <v>14.714285714285714</v>
      </c>
      <c r="AG13" t="s">
        <v>459</v>
      </c>
      <c r="AH13">
        <f t="shared" si="7"/>
        <v>0</v>
      </c>
      <c r="AI13">
        <f t="shared" si="8"/>
        <v>1</v>
      </c>
      <c r="AJ13" t="b">
        <f t="shared" si="9"/>
        <v>0</v>
      </c>
    </row>
    <row r="14" spans="1:36" ht="15.6" x14ac:dyDescent="0.3">
      <c r="A14" s="9" t="s">
        <v>64</v>
      </c>
      <c r="B14" s="9" t="s">
        <v>72</v>
      </c>
      <c r="C14" s="9" t="s">
        <v>22</v>
      </c>
      <c r="D14" s="10">
        <v>45910</v>
      </c>
      <c r="E14" s="9" t="s">
        <v>23</v>
      </c>
      <c r="F14" s="11" t="s">
        <v>57</v>
      </c>
      <c r="G14" s="14" t="s">
        <v>58</v>
      </c>
      <c r="H14" s="9" t="s">
        <v>59</v>
      </c>
      <c r="I14" s="9" t="s">
        <v>27</v>
      </c>
      <c r="J14" s="9">
        <v>1</v>
      </c>
      <c r="K14" s="13">
        <v>50</v>
      </c>
      <c r="L14" s="13">
        <f t="shared" si="0"/>
        <v>0.5</v>
      </c>
      <c r="M14" s="9" t="s">
        <v>28</v>
      </c>
      <c r="N14" s="9" t="s">
        <v>29</v>
      </c>
      <c r="O14" s="9" t="s">
        <v>69</v>
      </c>
      <c r="P14" s="9" t="s">
        <v>70</v>
      </c>
      <c r="Q14" s="9"/>
      <c r="R14" s="9"/>
      <c r="S14" s="9"/>
      <c r="T14" s="9" t="s">
        <v>32</v>
      </c>
      <c r="U14" s="9" t="s">
        <v>33</v>
      </c>
      <c r="V14" t="s">
        <v>292</v>
      </c>
      <c r="W14">
        <f t="shared" si="1"/>
        <v>1</v>
      </c>
      <c r="X14">
        <f t="shared" si="2"/>
        <v>5</v>
      </c>
      <c r="Y14">
        <f t="shared" si="3"/>
        <v>5</v>
      </c>
      <c r="Z14" t="s">
        <v>459</v>
      </c>
      <c r="AA14">
        <f t="shared" si="4"/>
        <v>1</v>
      </c>
      <c r="AB14">
        <f t="shared" si="5"/>
        <v>10</v>
      </c>
      <c r="AC14">
        <f t="shared" si="6"/>
        <v>10</v>
      </c>
      <c r="AG14" t="s">
        <v>25</v>
      </c>
      <c r="AH14">
        <f t="shared" si="7"/>
        <v>1</v>
      </c>
      <c r="AI14">
        <f t="shared" si="8"/>
        <v>1</v>
      </c>
      <c r="AJ14">
        <f t="shared" si="9"/>
        <v>1</v>
      </c>
    </row>
    <row r="15" spans="1:36" ht="15.6" x14ac:dyDescent="0.3">
      <c r="A15" s="9" t="s">
        <v>64</v>
      </c>
      <c r="B15" s="9" t="s">
        <v>73</v>
      </c>
      <c r="C15" s="9" t="s">
        <v>22</v>
      </c>
      <c r="D15" s="10">
        <v>45910</v>
      </c>
      <c r="E15" s="9" t="s">
        <v>23</v>
      </c>
      <c r="F15" s="11" t="s">
        <v>61</v>
      </c>
      <c r="G15" s="14" t="s">
        <v>62</v>
      </c>
      <c r="H15" s="9" t="s">
        <v>63</v>
      </c>
      <c r="I15" s="9" t="s">
        <v>27</v>
      </c>
      <c r="J15" s="9">
        <v>1</v>
      </c>
      <c r="K15" s="13">
        <v>5</v>
      </c>
      <c r="L15" s="13">
        <f t="shared" si="0"/>
        <v>0.05</v>
      </c>
      <c r="M15" s="9" t="s">
        <v>28</v>
      </c>
      <c r="N15" s="9" t="s">
        <v>29</v>
      </c>
      <c r="O15" s="9" t="s">
        <v>69</v>
      </c>
      <c r="P15" s="9" t="s">
        <v>70</v>
      </c>
      <c r="Q15" s="9"/>
      <c r="R15" s="9"/>
      <c r="S15" s="9"/>
      <c r="T15" s="9" t="s">
        <v>32</v>
      </c>
      <c r="U15" s="9" t="s">
        <v>33</v>
      </c>
      <c r="V15" t="s">
        <v>203</v>
      </c>
      <c r="W15">
        <f t="shared" si="1"/>
        <v>1</v>
      </c>
      <c r="X15">
        <f t="shared" si="2"/>
        <v>5</v>
      </c>
      <c r="Y15">
        <f t="shared" si="3"/>
        <v>5</v>
      </c>
      <c r="Z15" t="s">
        <v>25</v>
      </c>
      <c r="AA15">
        <f t="shared" si="4"/>
        <v>12</v>
      </c>
      <c r="AB15">
        <f t="shared" si="5"/>
        <v>328</v>
      </c>
      <c r="AC15">
        <f t="shared" si="6"/>
        <v>27.333333333333332</v>
      </c>
      <c r="AG15" t="s">
        <v>408</v>
      </c>
      <c r="AH15">
        <f t="shared" si="7"/>
        <v>0</v>
      </c>
      <c r="AI15">
        <f t="shared" si="8"/>
        <v>1</v>
      </c>
      <c r="AJ15" t="b">
        <f t="shared" si="9"/>
        <v>0</v>
      </c>
    </row>
    <row r="16" spans="1:36" ht="15.6" x14ac:dyDescent="0.3">
      <c r="A16" s="9" t="s">
        <v>74</v>
      </c>
      <c r="B16" s="9" t="s">
        <v>75</v>
      </c>
      <c r="C16" s="9" t="s">
        <v>22</v>
      </c>
      <c r="D16" s="10">
        <v>45910</v>
      </c>
      <c r="E16" s="9" t="s">
        <v>23</v>
      </c>
      <c r="F16" s="11" t="s">
        <v>24</v>
      </c>
      <c r="G16" s="12" t="s">
        <v>25</v>
      </c>
      <c r="H16" s="9" t="s">
        <v>26</v>
      </c>
      <c r="I16" s="9" t="s">
        <v>27</v>
      </c>
      <c r="J16" s="9">
        <v>1</v>
      </c>
      <c r="K16" s="13">
        <v>100</v>
      </c>
      <c r="L16" s="13">
        <f t="shared" si="0"/>
        <v>1</v>
      </c>
      <c r="M16" s="9" t="s">
        <v>28</v>
      </c>
      <c r="N16" s="9" t="s">
        <v>29</v>
      </c>
      <c r="O16" s="9" t="s">
        <v>76</v>
      </c>
      <c r="P16" s="9" t="s">
        <v>77</v>
      </c>
      <c r="Q16" s="9"/>
      <c r="R16" s="9"/>
      <c r="S16" s="9"/>
      <c r="T16" s="9" t="s">
        <v>32</v>
      </c>
      <c r="U16" s="9" t="s">
        <v>33</v>
      </c>
      <c r="V16" t="s">
        <v>67</v>
      </c>
      <c r="W16">
        <f t="shared" si="1"/>
        <v>1</v>
      </c>
      <c r="X16">
        <f t="shared" si="2"/>
        <v>20</v>
      </c>
      <c r="Y16">
        <f t="shared" si="3"/>
        <v>20</v>
      </c>
      <c r="Z16" t="s">
        <v>408</v>
      </c>
      <c r="AA16">
        <f t="shared" si="4"/>
        <v>2</v>
      </c>
      <c r="AB16">
        <f t="shared" si="5"/>
        <v>30</v>
      </c>
      <c r="AC16">
        <f t="shared" si="6"/>
        <v>15</v>
      </c>
      <c r="AG16" t="s">
        <v>384</v>
      </c>
      <c r="AH16">
        <f t="shared" si="7"/>
        <v>0</v>
      </c>
      <c r="AI16">
        <f t="shared" si="8"/>
        <v>1</v>
      </c>
      <c r="AJ16" t="b">
        <f t="shared" si="9"/>
        <v>0</v>
      </c>
    </row>
    <row r="17" spans="1:36" ht="15.6" x14ac:dyDescent="0.3">
      <c r="A17" s="9" t="s">
        <v>74</v>
      </c>
      <c r="B17" s="9" t="s">
        <v>78</v>
      </c>
      <c r="C17" s="9" t="s">
        <v>22</v>
      </c>
      <c r="D17" s="10">
        <v>45910</v>
      </c>
      <c r="E17" s="9" t="s">
        <v>23</v>
      </c>
      <c r="F17" s="11" t="s">
        <v>36</v>
      </c>
      <c r="G17" s="14" t="s">
        <v>37</v>
      </c>
      <c r="H17" s="9" t="s">
        <v>38</v>
      </c>
      <c r="I17" s="9" t="s">
        <v>27</v>
      </c>
      <c r="J17" s="9">
        <v>1</v>
      </c>
      <c r="K17" s="13">
        <v>25</v>
      </c>
      <c r="L17" s="13">
        <f t="shared" si="0"/>
        <v>0.25</v>
      </c>
      <c r="M17" s="9" t="s">
        <v>28</v>
      </c>
      <c r="N17" s="9" t="s">
        <v>29</v>
      </c>
      <c r="O17" s="9" t="s">
        <v>76</v>
      </c>
      <c r="P17" s="9" t="s">
        <v>77</v>
      </c>
      <c r="Q17" s="9"/>
      <c r="R17" s="9"/>
      <c r="S17" s="9"/>
      <c r="T17" s="9" t="s">
        <v>32</v>
      </c>
      <c r="U17" s="9" t="s">
        <v>33</v>
      </c>
      <c r="V17" t="s">
        <v>999</v>
      </c>
      <c r="W17">
        <f t="shared" si="1"/>
        <v>1</v>
      </c>
      <c r="X17">
        <f t="shared" si="2"/>
        <v>5</v>
      </c>
      <c r="Y17">
        <f t="shared" si="3"/>
        <v>5</v>
      </c>
      <c r="Z17" t="s">
        <v>384</v>
      </c>
      <c r="AA17">
        <f t="shared" si="4"/>
        <v>1</v>
      </c>
      <c r="AB17">
        <f t="shared" si="5"/>
        <v>5</v>
      </c>
      <c r="AC17">
        <f t="shared" si="6"/>
        <v>5</v>
      </c>
      <c r="AG17" t="s">
        <v>324</v>
      </c>
      <c r="AH17">
        <f t="shared" si="7"/>
        <v>0</v>
      </c>
      <c r="AI17">
        <f t="shared" si="8"/>
        <v>1</v>
      </c>
      <c r="AJ17" t="b">
        <f t="shared" si="9"/>
        <v>0</v>
      </c>
    </row>
    <row r="18" spans="1:36" ht="15.6" x14ac:dyDescent="0.3">
      <c r="A18" s="9" t="s">
        <v>79</v>
      </c>
      <c r="B18" s="9" t="s">
        <v>80</v>
      </c>
      <c r="C18" s="9" t="s">
        <v>22</v>
      </c>
      <c r="D18" s="10">
        <v>45910</v>
      </c>
      <c r="E18" s="9" t="s">
        <v>23</v>
      </c>
      <c r="F18" s="11" t="s">
        <v>24</v>
      </c>
      <c r="G18" s="12" t="s">
        <v>25</v>
      </c>
      <c r="H18" s="9" t="s">
        <v>26</v>
      </c>
      <c r="I18" s="9" t="s">
        <v>27</v>
      </c>
      <c r="J18" s="9">
        <v>1</v>
      </c>
      <c r="K18" s="13">
        <v>100</v>
      </c>
      <c r="L18" s="13">
        <f t="shared" si="0"/>
        <v>1</v>
      </c>
      <c r="M18" s="9" t="s">
        <v>28</v>
      </c>
      <c r="N18" s="9" t="s">
        <v>29</v>
      </c>
      <c r="O18" s="9" t="s">
        <v>81</v>
      </c>
      <c r="P18" s="9" t="s">
        <v>82</v>
      </c>
      <c r="Q18" s="9"/>
      <c r="R18" s="9"/>
      <c r="S18" s="9"/>
      <c r="T18" s="9" t="s">
        <v>32</v>
      </c>
      <c r="U18" s="9" t="s">
        <v>33</v>
      </c>
      <c r="V18" t="s">
        <v>307</v>
      </c>
      <c r="W18">
        <f t="shared" si="1"/>
        <v>1</v>
      </c>
      <c r="X18">
        <f t="shared" si="2"/>
        <v>5</v>
      </c>
      <c r="Y18">
        <f t="shared" si="3"/>
        <v>5</v>
      </c>
      <c r="Z18" t="s">
        <v>324</v>
      </c>
      <c r="AA18">
        <f t="shared" si="4"/>
        <v>2</v>
      </c>
      <c r="AB18">
        <f t="shared" si="5"/>
        <v>105</v>
      </c>
      <c r="AC18">
        <f t="shared" si="6"/>
        <v>52.5</v>
      </c>
      <c r="AG18" t="s">
        <v>313</v>
      </c>
      <c r="AH18">
        <f t="shared" si="7"/>
        <v>0</v>
      </c>
      <c r="AI18">
        <f t="shared" si="8"/>
        <v>1</v>
      </c>
      <c r="AJ18" t="b">
        <f t="shared" si="9"/>
        <v>0</v>
      </c>
    </row>
    <row r="19" spans="1:36" ht="15.6" x14ac:dyDescent="0.3">
      <c r="A19" s="9" t="s">
        <v>79</v>
      </c>
      <c r="B19" s="9" t="s">
        <v>83</v>
      </c>
      <c r="C19" s="9" t="s">
        <v>22</v>
      </c>
      <c r="D19" s="10">
        <v>45910</v>
      </c>
      <c r="E19" s="9" t="s">
        <v>23</v>
      </c>
      <c r="F19" s="11" t="s">
        <v>36</v>
      </c>
      <c r="G19" s="14" t="s">
        <v>37</v>
      </c>
      <c r="H19" s="9" t="s">
        <v>38</v>
      </c>
      <c r="I19" s="9" t="s">
        <v>27</v>
      </c>
      <c r="J19" s="9">
        <v>1</v>
      </c>
      <c r="K19" s="13">
        <v>60</v>
      </c>
      <c r="L19" s="13">
        <f t="shared" si="0"/>
        <v>0.6</v>
      </c>
      <c r="M19" s="9" t="s">
        <v>28</v>
      </c>
      <c r="N19" s="9" t="s">
        <v>29</v>
      </c>
      <c r="O19" s="9" t="s">
        <v>81</v>
      </c>
      <c r="P19" s="9" t="s">
        <v>82</v>
      </c>
      <c r="Q19" s="9"/>
      <c r="R19" s="9"/>
      <c r="S19" s="9"/>
      <c r="T19" s="9" t="s">
        <v>32</v>
      </c>
      <c r="U19" s="9" t="s">
        <v>33</v>
      </c>
      <c r="V19" t="s">
        <v>101</v>
      </c>
      <c r="W19">
        <f t="shared" si="1"/>
        <v>9</v>
      </c>
      <c r="X19">
        <f t="shared" si="2"/>
        <v>50</v>
      </c>
      <c r="Y19">
        <f t="shared" si="3"/>
        <v>5.5555555555555554</v>
      </c>
      <c r="Z19" t="s">
        <v>313</v>
      </c>
      <c r="AA19">
        <f t="shared" si="4"/>
        <v>2</v>
      </c>
      <c r="AB19">
        <f t="shared" si="5"/>
        <v>20</v>
      </c>
      <c r="AC19">
        <f t="shared" si="6"/>
        <v>10</v>
      </c>
      <c r="AG19" t="s">
        <v>272</v>
      </c>
      <c r="AH19">
        <f t="shared" si="7"/>
        <v>1</v>
      </c>
      <c r="AI19">
        <f t="shared" si="8"/>
        <v>1</v>
      </c>
      <c r="AJ19">
        <f t="shared" si="9"/>
        <v>1</v>
      </c>
    </row>
    <row r="20" spans="1:36" ht="15.6" x14ac:dyDescent="0.3">
      <c r="A20" s="9" t="s">
        <v>79</v>
      </c>
      <c r="B20" s="9" t="s">
        <v>84</v>
      </c>
      <c r="C20" s="9" t="s">
        <v>22</v>
      </c>
      <c r="D20" s="10">
        <v>45910</v>
      </c>
      <c r="E20" s="9" t="s">
        <v>23</v>
      </c>
      <c r="F20" s="11" t="s">
        <v>57</v>
      </c>
      <c r="G20" s="14" t="s">
        <v>58</v>
      </c>
      <c r="H20" s="9" t="s">
        <v>59</v>
      </c>
      <c r="I20" s="9" t="s">
        <v>27</v>
      </c>
      <c r="J20" s="9">
        <v>1</v>
      </c>
      <c r="K20" s="13">
        <v>40</v>
      </c>
      <c r="L20" s="13">
        <f t="shared" si="0"/>
        <v>0.4</v>
      </c>
      <c r="M20" s="9" t="s">
        <v>28</v>
      </c>
      <c r="N20" s="9" t="s">
        <v>29</v>
      </c>
      <c r="O20" s="9" t="s">
        <v>81</v>
      </c>
      <c r="P20" s="9" t="s">
        <v>82</v>
      </c>
      <c r="Q20" s="9"/>
      <c r="R20" s="9"/>
      <c r="S20" s="9"/>
      <c r="T20" s="9" t="s">
        <v>32</v>
      </c>
      <c r="U20" s="9" t="s">
        <v>33</v>
      </c>
      <c r="V20" t="s">
        <v>25</v>
      </c>
      <c r="W20">
        <f t="shared" si="1"/>
        <v>17</v>
      </c>
      <c r="X20">
        <f t="shared" si="2"/>
        <v>1050</v>
      </c>
      <c r="Y20">
        <f t="shared" si="3"/>
        <v>61.764705882352942</v>
      </c>
      <c r="Z20" t="s">
        <v>272</v>
      </c>
      <c r="AA20">
        <f t="shared" si="4"/>
        <v>2</v>
      </c>
      <c r="AB20">
        <f t="shared" si="5"/>
        <v>28</v>
      </c>
      <c r="AC20">
        <f t="shared" si="6"/>
        <v>14</v>
      </c>
      <c r="AG20" t="s">
        <v>231</v>
      </c>
      <c r="AH20">
        <f t="shared" si="7"/>
        <v>1</v>
      </c>
      <c r="AI20">
        <f t="shared" si="8"/>
        <v>0</v>
      </c>
      <c r="AJ20" t="b">
        <f t="shared" si="9"/>
        <v>0</v>
      </c>
    </row>
    <row r="21" spans="1:36" ht="15.6" x14ac:dyDescent="0.3">
      <c r="A21" s="9" t="s">
        <v>85</v>
      </c>
      <c r="B21" s="9" t="s">
        <v>86</v>
      </c>
      <c r="C21" s="9" t="s">
        <v>22</v>
      </c>
      <c r="D21" s="10">
        <v>45910</v>
      </c>
      <c r="E21" s="9" t="s">
        <v>23</v>
      </c>
      <c r="F21" s="11" t="s">
        <v>36</v>
      </c>
      <c r="G21" s="14" t="s">
        <v>37</v>
      </c>
      <c r="H21" s="9" t="s">
        <v>38</v>
      </c>
      <c r="I21" s="9" t="s">
        <v>27</v>
      </c>
      <c r="J21" s="9">
        <v>1</v>
      </c>
      <c r="K21" s="13">
        <v>33</v>
      </c>
      <c r="L21" s="13">
        <f t="shared" si="0"/>
        <v>0.33</v>
      </c>
      <c r="M21" s="9" t="s">
        <v>28</v>
      </c>
      <c r="N21" s="9" t="s">
        <v>29</v>
      </c>
      <c r="O21" s="9" t="s">
        <v>87</v>
      </c>
      <c r="P21" s="9" t="s">
        <v>88</v>
      </c>
      <c r="Q21" s="9"/>
      <c r="R21" s="9"/>
      <c r="S21" s="9"/>
      <c r="T21" s="9" t="s">
        <v>32</v>
      </c>
      <c r="U21" s="9" t="s">
        <v>33</v>
      </c>
      <c r="V21" t="s">
        <v>97</v>
      </c>
      <c r="W21">
        <f t="shared" si="1"/>
        <v>3</v>
      </c>
      <c r="X21">
        <f t="shared" si="2"/>
        <v>35</v>
      </c>
      <c r="Y21">
        <f t="shared" si="3"/>
        <v>11.666666666666666</v>
      </c>
      <c r="Z21">
        <f>COUNTA(_xlfn.ANCHORARRAY(Z3))</f>
        <v>1</v>
      </c>
      <c r="AA21">
        <f>SUM(AA3:AA20)</f>
        <v>101</v>
      </c>
      <c r="AB21">
        <f>SUM(AB3:AB20)</f>
        <v>3472</v>
      </c>
      <c r="AC21">
        <f>SUM(AC3:AC20)</f>
        <v>413.66190476190474</v>
      </c>
      <c r="AG21" t="s">
        <v>167</v>
      </c>
      <c r="AH21">
        <f t="shared" si="7"/>
        <v>1</v>
      </c>
      <c r="AI21">
        <f t="shared" si="8"/>
        <v>0</v>
      </c>
      <c r="AJ21" t="b">
        <f t="shared" si="9"/>
        <v>0</v>
      </c>
    </row>
    <row r="22" spans="1:36" ht="15.6" x14ac:dyDescent="0.3">
      <c r="A22" s="17" t="s">
        <v>85</v>
      </c>
      <c r="B22" s="17" t="s">
        <v>89</v>
      </c>
      <c r="C22" s="9" t="s">
        <v>22</v>
      </c>
      <c r="D22" s="10">
        <v>45910</v>
      </c>
      <c r="E22" s="9" t="s">
        <v>23</v>
      </c>
      <c r="F22" s="11" t="s">
        <v>24</v>
      </c>
      <c r="G22" s="12" t="s">
        <v>25</v>
      </c>
      <c r="H22" s="9" t="s">
        <v>26</v>
      </c>
      <c r="I22" s="9" t="s">
        <v>27</v>
      </c>
      <c r="J22" s="9">
        <v>1</v>
      </c>
      <c r="K22" s="13">
        <v>100</v>
      </c>
      <c r="L22" s="13">
        <f t="shared" si="0"/>
        <v>1</v>
      </c>
      <c r="M22" s="9" t="s">
        <v>28</v>
      </c>
      <c r="N22" s="9" t="s">
        <v>29</v>
      </c>
      <c r="O22" s="9" t="s">
        <v>87</v>
      </c>
      <c r="P22" s="9" t="s">
        <v>88</v>
      </c>
      <c r="Q22" s="9"/>
      <c r="R22" s="9"/>
      <c r="S22" s="9"/>
      <c r="T22" s="9" t="s">
        <v>32</v>
      </c>
      <c r="U22" s="9" t="s">
        <v>33</v>
      </c>
      <c r="V22" t="s">
        <v>58</v>
      </c>
      <c r="W22">
        <f t="shared" si="1"/>
        <v>18</v>
      </c>
      <c r="X22">
        <f t="shared" si="2"/>
        <v>1270</v>
      </c>
      <c r="Y22">
        <f t="shared" si="3"/>
        <v>70.555555555555557</v>
      </c>
      <c r="AG22" t="s">
        <v>125</v>
      </c>
      <c r="AH22">
        <f t="shared" si="7"/>
        <v>1</v>
      </c>
      <c r="AI22">
        <f t="shared" si="8"/>
        <v>0</v>
      </c>
      <c r="AJ22" t="b">
        <f t="shared" si="9"/>
        <v>0</v>
      </c>
    </row>
    <row r="23" spans="1:36" ht="15.6" x14ac:dyDescent="0.3">
      <c r="A23" s="17" t="s">
        <v>85</v>
      </c>
      <c r="B23" s="17" t="s">
        <v>90</v>
      </c>
      <c r="C23" s="9" t="s">
        <v>22</v>
      </c>
      <c r="D23" s="10">
        <v>45910</v>
      </c>
      <c r="E23" s="9" t="s">
        <v>23</v>
      </c>
      <c r="F23" s="11" t="s">
        <v>57</v>
      </c>
      <c r="G23" s="14" t="s">
        <v>58</v>
      </c>
      <c r="H23" s="9" t="s">
        <v>59</v>
      </c>
      <c r="I23" s="9" t="s">
        <v>27</v>
      </c>
      <c r="J23" s="9">
        <v>1</v>
      </c>
      <c r="K23" s="13">
        <v>40</v>
      </c>
      <c r="L23" s="13">
        <f t="shared" si="0"/>
        <v>0.4</v>
      </c>
      <c r="M23" s="9" t="s">
        <v>28</v>
      </c>
      <c r="N23" s="9" t="s">
        <v>29</v>
      </c>
      <c r="O23" s="9" t="s">
        <v>87</v>
      </c>
      <c r="P23" s="9" t="s">
        <v>88</v>
      </c>
      <c r="Q23" s="9"/>
      <c r="R23" s="9"/>
      <c r="S23" s="9"/>
      <c r="T23" s="9" t="s">
        <v>32</v>
      </c>
      <c r="U23" s="9" t="s">
        <v>33</v>
      </c>
      <c r="V23" t="s">
        <v>37</v>
      </c>
      <c r="W23">
        <f t="shared" si="1"/>
        <v>10</v>
      </c>
      <c r="X23">
        <f t="shared" si="2"/>
        <v>239</v>
      </c>
      <c r="Y23">
        <f t="shared" si="3"/>
        <v>23.9</v>
      </c>
      <c r="AG23" t="s">
        <v>998</v>
      </c>
      <c r="AH23">
        <f t="shared" si="7"/>
        <v>1</v>
      </c>
      <c r="AI23">
        <f t="shared" si="8"/>
        <v>0</v>
      </c>
      <c r="AJ23" t="b">
        <f t="shared" si="9"/>
        <v>0</v>
      </c>
    </row>
    <row r="24" spans="1:36" ht="15.6" x14ac:dyDescent="0.3">
      <c r="A24" s="9" t="s">
        <v>91</v>
      </c>
      <c r="B24" s="9" t="s">
        <v>92</v>
      </c>
      <c r="C24" s="9" t="s">
        <v>22</v>
      </c>
      <c r="D24" s="10">
        <v>45910</v>
      </c>
      <c r="E24" s="9" t="s">
        <v>23</v>
      </c>
      <c r="F24" s="11" t="s">
        <v>24</v>
      </c>
      <c r="G24" s="12" t="s">
        <v>25</v>
      </c>
      <c r="H24" s="9" t="s">
        <v>26</v>
      </c>
      <c r="I24" s="9" t="s">
        <v>27</v>
      </c>
      <c r="J24" s="9">
        <v>1</v>
      </c>
      <c r="K24" s="13">
        <v>100</v>
      </c>
      <c r="L24" s="13">
        <f t="shared" si="0"/>
        <v>1</v>
      </c>
      <c r="M24" s="9" t="s">
        <v>28</v>
      </c>
      <c r="N24" s="9" t="s">
        <v>29</v>
      </c>
      <c r="O24" s="9" t="s">
        <v>93</v>
      </c>
      <c r="P24" s="9" t="s">
        <v>94</v>
      </c>
      <c r="Q24" s="9"/>
      <c r="R24" s="9"/>
      <c r="S24" s="9"/>
      <c r="T24" s="9" t="s">
        <v>32</v>
      </c>
      <c r="U24" s="9" t="s">
        <v>33</v>
      </c>
      <c r="V24" t="s">
        <v>62</v>
      </c>
      <c r="W24">
        <f t="shared" si="1"/>
        <v>5</v>
      </c>
      <c r="X24">
        <f t="shared" si="2"/>
        <v>45</v>
      </c>
      <c r="Y24">
        <f t="shared" si="3"/>
        <v>9</v>
      </c>
      <c r="AG24" t="s">
        <v>144</v>
      </c>
      <c r="AH24">
        <f t="shared" si="7"/>
        <v>1</v>
      </c>
      <c r="AI24">
        <f t="shared" si="8"/>
        <v>0</v>
      </c>
      <c r="AJ24" t="b">
        <f t="shared" si="9"/>
        <v>0</v>
      </c>
    </row>
    <row r="25" spans="1:36" ht="15.6" x14ac:dyDescent="0.3">
      <c r="A25" s="9" t="s">
        <v>91</v>
      </c>
      <c r="B25" s="9" t="s">
        <v>95</v>
      </c>
      <c r="C25" s="9" t="s">
        <v>22</v>
      </c>
      <c r="D25" s="10">
        <v>45910</v>
      </c>
      <c r="E25" s="9" t="s">
        <v>23</v>
      </c>
      <c r="F25" s="11" t="s">
        <v>96</v>
      </c>
      <c r="G25" s="14" t="s">
        <v>97</v>
      </c>
      <c r="H25" s="9" t="s">
        <v>98</v>
      </c>
      <c r="I25" s="9" t="s">
        <v>27</v>
      </c>
      <c r="J25" s="9">
        <v>1</v>
      </c>
      <c r="K25" s="13">
        <v>25</v>
      </c>
      <c r="L25" s="13">
        <f t="shared" si="0"/>
        <v>0.25</v>
      </c>
      <c r="M25" s="9" t="s">
        <v>28</v>
      </c>
      <c r="N25" s="9" t="s">
        <v>29</v>
      </c>
      <c r="O25" s="9" t="s">
        <v>93</v>
      </c>
      <c r="P25" s="9" t="s">
        <v>94</v>
      </c>
      <c r="Q25" s="9"/>
      <c r="R25" s="9"/>
      <c r="S25" s="9"/>
      <c r="T25" s="9" t="s">
        <v>32</v>
      </c>
      <c r="U25" s="9" t="s">
        <v>33</v>
      </c>
      <c r="V25" t="s">
        <v>119</v>
      </c>
      <c r="W25">
        <f t="shared" si="1"/>
        <v>1</v>
      </c>
      <c r="X25">
        <f t="shared" si="2"/>
        <v>10</v>
      </c>
      <c r="Y25">
        <f t="shared" si="3"/>
        <v>10</v>
      </c>
      <c r="AG25" t="s">
        <v>177</v>
      </c>
      <c r="AH25">
        <f t="shared" si="7"/>
        <v>1</v>
      </c>
      <c r="AI25">
        <f t="shared" si="8"/>
        <v>0</v>
      </c>
      <c r="AJ25" t="b">
        <f t="shared" si="9"/>
        <v>0</v>
      </c>
    </row>
    <row r="26" spans="1:36" ht="15.6" x14ac:dyDescent="0.3">
      <c r="A26" s="9" t="s">
        <v>91</v>
      </c>
      <c r="B26" s="9" t="s">
        <v>99</v>
      </c>
      <c r="C26" s="9" t="s">
        <v>22</v>
      </c>
      <c r="D26" s="10">
        <v>45910</v>
      </c>
      <c r="E26" s="9" t="s">
        <v>23</v>
      </c>
      <c r="F26" s="11" t="s">
        <v>57</v>
      </c>
      <c r="G26" s="14" t="s">
        <v>58</v>
      </c>
      <c r="H26" s="9" t="s">
        <v>59</v>
      </c>
      <c r="I26" s="9" t="s">
        <v>27</v>
      </c>
      <c r="J26" s="9">
        <v>1</v>
      </c>
      <c r="K26" s="13">
        <v>60</v>
      </c>
      <c r="L26" s="13">
        <f t="shared" si="0"/>
        <v>0.6</v>
      </c>
      <c r="M26" s="9" t="s">
        <v>28</v>
      </c>
      <c r="N26" s="9" t="s">
        <v>29</v>
      </c>
      <c r="O26" s="9" t="s">
        <v>93</v>
      </c>
      <c r="P26" s="9" t="s">
        <v>94</v>
      </c>
      <c r="Q26" s="9"/>
      <c r="R26" s="9"/>
      <c r="S26" s="9"/>
      <c r="T26" s="9" t="s">
        <v>32</v>
      </c>
      <c r="U26" s="9" t="s">
        <v>33</v>
      </c>
      <c r="V26" t="s">
        <v>272</v>
      </c>
      <c r="W26">
        <f t="shared" si="1"/>
        <v>2</v>
      </c>
      <c r="X26">
        <f t="shared" si="2"/>
        <v>10</v>
      </c>
      <c r="Y26">
        <f t="shared" si="3"/>
        <v>5</v>
      </c>
      <c r="AG26" t="s">
        <v>130</v>
      </c>
      <c r="AH26">
        <f t="shared" si="7"/>
        <v>1</v>
      </c>
      <c r="AI26">
        <f t="shared" si="8"/>
        <v>0</v>
      </c>
      <c r="AJ26" t="b">
        <f t="shared" si="9"/>
        <v>0</v>
      </c>
    </row>
    <row r="27" spans="1:36" ht="15.6" x14ac:dyDescent="0.3">
      <c r="A27" s="9" t="s">
        <v>91</v>
      </c>
      <c r="B27" s="9" t="s">
        <v>100</v>
      </c>
      <c r="C27" s="9" t="s">
        <v>22</v>
      </c>
      <c r="D27" s="10">
        <v>45910</v>
      </c>
      <c r="E27" s="9" t="s">
        <v>23</v>
      </c>
      <c r="F27" s="11" t="s">
        <v>36</v>
      </c>
      <c r="G27" s="18" t="s">
        <v>101</v>
      </c>
      <c r="H27" s="9" t="s">
        <v>102</v>
      </c>
      <c r="I27" s="9" t="s">
        <v>27</v>
      </c>
      <c r="J27" s="9">
        <v>1</v>
      </c>
      <c r="K27" s="13">
        <v>5</v>
      </c>
      <c r="L27" s="13">
        <f t="shared" si="0"/>
        <v>0.05</v>
      </c>
      <c r="M27" s="9" t="s">
        <v>28</v>
      </c>
      <c r="N27" s="9" t="s">
        <v>29</v>
      </c>
      <c r="O27" s="9" t="s">
        <v>93</v>
      </c>
      <c r="P27" s="9" t="s">
        <v>94</v>
      </c>
      <c r="Q27" s="9"/>
      <c r="R27" s="9"/>
      <c r="S27" s="9"/>
      <c r="T27" s="9" t="s">
        <v>32</v>
      </c>
      <c r="U27" s="9" t="s">
        <v>33</v>
      </c>
      <c r="V27">
        <f>COUNTA(V3:V26)</f>
        <v>24</v>
      </c>
      <c r="W27">
        <f>SUM(W3:W26)</f>
        <v>137</v>
      </c>
      <c r="X27">
        <f>SUM(X3:X26)</f>
        <v>5775</v>
      </c>
      <c r="Y27">
        <f>SUM(Y3:Y26)</f>
        <v>635.82292038027333</v>
      </c>
      <c r="AB27">
        <f>SUM(X27,AB21)</f>
        <v>9247</v>
      </c>
      <c r="AG27" t="s">
        <v>48</v>
      </c>
      <c r="AH27">
        <f t="shared" si="7"/>
        <v>1</v>
      </c>
      <c r="AI27">
        <f t="shared" si="8"/>
        <v>0</v>
      </c>
      <c r="AJ27" t="b">
        <f t="shared" si="9"/>
        <v>0</v>
      </c>
    </row>
    <row r="28" spans="1:36" ht="15.6" x14ac:dyDescent="0.3">
      <c r="A28" s="9" t="s">
        <v>91</v>
      </c>
      <c r="B28" s="9" t="s">
        <v>103</v>
      </c>
      <c r="C28" s="9" t="s">
        <v>22</v>
      </c>
      <c r="D28" s="10">
        <v>45910</v>
      </c>
      <c r="E28" s="9" t="s">
        <v>23</v>
      </c>
      <c r="F28" s="11" t="s">
        <v>36</v>
      </c>
      <c r="G28" s="14" t="s">
        <v>37</v>
      </c>
      <c r="H28" s="9" t="s">
        <v>38</v>
      </c>
      <c r="I28" s="9" t="s">
        <v>27</v>
      </c>
      <c r="J28" s="9">
        <v>1</v>
      </c>
      <c r="K28" s="13">
        <v>35</v>
      </c>
      <c r="L28" s="13">
        <f t="shared" si="0"/>
        <v>0.35</v>
      </c>
      <c r="M28" s="9" t="s">
        <v>28</v>
      </c>
      <c r="N28" s="9" t="s">
        <v>29</v>
      </c>
      <c r="O28" s="9" t="s">
        <v>93</v>
      </c>
      <c r="P28" s="9" t="s">
        <v>94</v>
      </c>
      <c r="Q28" s="9"/>
      <c r="R28" s="9"/>
      <c r="S28" s="9"/>
      <c r="T28" s="9" t="s">
        <v>32</v>
      </c>
      <c r="U28" s="9" t="s">
        <v>33</v>
      </c>
      <c r="AG28" t="s">
        <v>292</v>
      </c>
      <c r="AH28">
        <f t="shared" si="7"/>
        <v>1</v>
      </c>
      <c r="AI28">
        <f t="shared" si="8"/>
        <v>0</v>
      </c>
      <c r="AJ28" t="b">
        <f t="shared" si="9"/>
        <v>0</v>
      </c>
    </row>
    <row r="29" spans="1:36" ht="15.6" x14ac:dyDescent="0.3">
      <c r="A29" s="9" t="s">
        <v>104</v>
      </c>
      <c r="B29" s="9" t="s">
        <v>105</v>
      </c>
      <c r="C29" s="9" t="s">
        <v>22</v>
      </c>
      <c r="D29" s="10">
        <v>45910</v>
      </c>
      <c r="E29" s="9" t="s">
        <v>23</v>
      </c>
      <c r="F29" s="11" t="s">
        <v>24</v>
      </c>
      <c r="G29" s="12" t="s">
        <v>25</v>
      </c>
      <c r="H29" s="9" t="s">
        <v>26</v>
      </c>
      <c r="I29" s="9" t="s">
        <v>27</v>
      </c>
      <c r="J29" s="9">
        <v>1</v>
      </c>
      <c r="K29" s="13">
        <v>100</v>
      </c>
      <c r="L29" s="13">
        <f t="shared" si="0"/>
        <v>1</v>
      </c>
      <c r="M29" s="9" t="s">
        <v>28</v>
      </c>
      <c r="N29" s="9" t="s">
        <v>29</v>
      </c>
      <c r="O29" s="9" t="s">
        <v>106</v>
      </c>
      <c r="P29" s="9" t="s">
        <v>107</v>
      </c>
      <c r="Q29" s="9"/>
      <c r="R29" s="9"/>
      <c r="S29" s="9"/>
      <c r="T29" s="9" t="s">
        <v>32</v>
      </c>
      <c r="U29" s="9" t="s">
        <v>33</v>
      </c>
      <c r="AG29" t="s">
        <v>67</v>
      </c>
      <c r="AH29">
        <f t="shared" si="7"/>
        <v>1</v>
      </c>
      <c r="AI29">
        <f t="shared" si="8"/>
        <v>0</v>
      </c>
      <c r="AJ29" t="b">
        <f t="shared" si="9"/>
        <v>0</v>
      </c>
    </row>
    <row r="30" spans="1:36" ht="15.6" x14ac:dyDescent="0.3">
      <c r="A30" s="9" t="s">
        <v>104</v>
      </c>
      <c r="B30" s="9" t="s">
        <v>108</v>
      </c>
      <c r="C30" s="9" t="s">
        <v>22</v>
      </c>
      <c r="D30" s="10">
        <v>45910</v>
      </c>
      <c r="E30" s="9" t="s">
        <v>23</v>
      </c>
      <c r="F30" s="11" t="s">
        <v>36</v>
      </c>
      <c r="G30" s="14" t="s">
        <v>37</v>
      </c>
      <c r="H30" s="9" t="s">
        <v>38</v>
      </c>
      <c r="I30" s="9" t="s">
        <v>27</v>
      </c>
      <c r="J30" s="9">
        <v>1</v>
      </c>
      <c r="K30" s="13">
        <v>10</v>
      </c>
      <c r="L30" s="13">
        <f t="shared" si="0"/>
        <v>0.1</v>
      </c>
      <c r="M30" s="9" t="s">
        <v>28</v>
      </c>
      <c r="N30" s="9" t="s">
        <v>29</v>
      </c>
      <c r="O30" s="9" t="s">
        <v>106</v>
      </c>
      <c r="P30" s="9" t="s">
        <v>107</v>
      </c>
      <c r="Q30" s="9"/>
      <c r="R30" s="9"/>
      <c r="S30" s="9"/>
      <c r="T30" s="9" t="s">
        <v>32</v>
      </c>
      <c r="U30" s="9" t="s">
        <v>33</v>
      </c>
      <c r="AG30" t="s">
        <v>999</v>
      </c>
      <c r="AH30">
        <f t="shared" si="7"/>
        <v>1</v>
      </c>
      <c r="AI30">
        <f t="shared" si="8"/>
        <v>0</v>
      </c>
      <c r="AJ30" t="b">
        <f t="shared" si="9"/>
        <v>0</v>
      </c>
    </row>
    <row r="31" spans="1:36" ht="15.6" x14ac:dyDescent="0.3">
      <c r="A31" s="9" t="s">
        <v>109</v>
      </c>
      <c r="B31" s="9" t="s">
        <v>110</v>
      </c>
      <c r="C31" s="9" t="s">
        <v>22</v>
      </c>
      <c r="D31" s="10">
        <v>45910</v>
      </c>
      <c r="E31" s="9" t="s">
        <v>23</v>
      </c>
      <c r="F31" s="9" t="s">
        <v>24</v>
      </c>
      <c r="G31" s="13" t="s">
        <v>25</v>
      </c>
      <c r="H31" s="9" t="s">
        <v>26</v>
      </c>
      <c r="I31" s="9" t="s">
        <v>27</v>
      </c>
      <c r="J31" s="9">
        <v>1</v>
      </c>
      <c r="K31" s="13">
        <v>100</v>
      </c>
      <c r="L31" s="13">
        <f t="shared" si="0"/>
        <v>1</v>
      </c>
      <c r="M31" s="9" t="s">
        <v>28</v>
      </c>
      <c r="N31" s="9" t="s">
        <v>29</v>
      </c>
      <c r="O31" s="9" t="s">
        <v>111</v>
      </c>
      <c r="P31" s="9" t="s">
        <v>112</v>
      </c>
      <c r="Q31" s="9"/>
      <c r="R31" s="9"/>
      <c r="S31" s="9"/>
      <c r="T31" s="9" t="s">
        <v>32</v>
      </c>
      <c r="U31" s="9" t="s">
        <v>33</v>
      </c>
      <c r="AG31" t="s">
        <v>307</v>
      </c>
      <c r="AH31">
        <f t="shared" si="7"/>
        <v>1</v>
      </c>
      <c r="AI31">
        <f t="shared" si="8"/>
        <v>0</v>
      </c>
      <c r="AJ31" t="b">
        <f t="shared" si="9"/>
        <v>0</v>
      </c>
    </row>
    <row r="32" spans="1:36" ht="15.6" x14ac:dyDescent="0.3">
      <c r="A32" s="9" t="s">
        <v>109</v>
      </c>
      <c r="B32" s="9" t="s">
        <v>113</v>
      </c>
      <c r="C32" s="9" t="s">
        <v>22</v>
      </c>
      <c r="D32" s="10">
        <v>45910</v>
      </c>
      <c r="E32" s="9" t="s">
        <v>23</v>
      </c>
      <c r="F32" s="11" t="s">
        <v>36</v>
      </c>
      <c r="G32" s="14" t="s">
        <v>37</v>
      </c>
      <c r="H32" s="9" t="s">
        <v>38</v>
      </c>
      <c r="I32" s="9" t="s">
        <v>27</v>
      </c>
      <c r="J32" s="9">
        <v>1</v>
      </c>
      <c r="K32" s="13">
        <v>33</v>
      </c>
      <c r="L32" s="13">
        <f t="shared" si="0"/>
        <v>0.33</v>
      </c>
      <c r="M32" s="9" t="s">
        <v>28</v>
      </c>
      <c r="N32" s="9" t="s">
        <v>29</v>
      </c>
      <c r="O32" s="9" t="s">
        <v>111</v>
      </c>
      <c r="P32" s="9" t="s">
        <v>112</v>
      </c>
      <c r="Q32" s="9"/>
      <c r="R32" s="9"/>
      <c r="S32" s="9"/>
      <c r="T32" s="9" t="s">
        <v>32</v>
      </c>
      <c r="U32" s="9" t="s">
        <v>33</v>
      </c>
      <c r="AG32" t="s">
        <v>97</v>
      </c>
      <c r="AH32">
        <f t="shared" si="7"/>
        <v>1</v>
      </c>
      <c r="AI32">
        <f t="shared" si="8"/>
        <v>0</v>
      </c>
      <c r="AJ32" t="b">
        <f t="shared" si="9"/>
        <v>0</v>
      </c>
    </row>
    <row r="33" spans="1:36" ht="15.6" x14ac:dyDescent="0.3">
      <c r="A33" s="9" t="s">
        <v>109</v>
      </c>
      <c r="B33" s="9" t="s">
        <v>114</v>
      </c>
      <c r="C33" s="9" t="s">
        <v>22</v>
      </c>
      <c r="D33" s="10">
        <v>45910</v>
      </c>
      <c r="E33" s="9" t="s">
        <v>23</v>
      </c>
      <c r="F33" s="11" t="s">
        <v>47</v>
      </c>
      <c r="G33" s="16" t="s">
        <v>48</v>
      </c>
      <c r="H33" s="16" t="s">
        <v>49</v>
      </c>
      <c r="I33" s="9" t="s">
        <v>27</v>
      </c>
      <c r="J33" s="9">
        <v>1</v>
      </c>
      <c r="K33" s="13">
        <v>40</v>
      </c>
      <c r="L33" s="13">
        <f t="shared" si="0"/>
        <v>0.4</v>
      </c>
      <c r="M33" s="9" t="s">
        <v>28</v>
      </c>
      <c r="N33" s="9" t="s">
        <v>29</v>
      </c>
      <c r="O33" s="9" t="s">
        <v>111</v>
      </c>
      <c r="P33" s="9" t="s">
        <v>112</v>
      </c>
      <c r="Q33" s="9"/>
      <c r="R33" s="9"/>
      <c r="S33" s="9"/>
      <c r="T33" s="9" t="s">
        <v>32</v>
      </c>
      <c r="U33" s="9" t="s">
        <v>33</v>
      </c>
      <c r="X33" t="s">
        <v>1535</v>
      </c>
      <c r="Y33">
        <f>(2*AJ37)/(V27+Z21)</f>
        <v>0.56000000000000005</v>
      </c>
      <c r="AG33" t="s">
        <v>58</v>
      </c>
      <c r="AH33">
        <f t="shared" si="7"/>
        <v>1</v>
      </c>
      <c r="AI33">
        <f t="shared" si="8"/>
        <v>0</v>
      </c>
      <c r="AJ33" t="b">
        <f t="shared" si="9"/>
        <v>0</v>
      </c>
    </row>
    <row r="34" spans="1:36" ht="15.6" x14ac:dyDescent="0.3">
      <c r="A34" s="9" t="s">
        <v>109</v>
      </c>
      <c r="B34" s="9" t="s">
        <v>115</v>
      </c>
      <c r="C34" s="9" t="s">
        <v>22</v>
      </c>
      <c r="D34" s="10">
        <v>45910</v>
      </c>
      <c r="E34" s="9" t="s">
        <v>23</v>
      </c>
      <c r="F34" s="11" t="s">
        <v>36</v>
      </c>
      <c r="G34" s="14" t="s">
        <v>37</v>
      </c>
      <c r="H34" s="9" t="s">
        <v>38</v>
      </c>
      <c r="I34" s="9" t="s">
        <v>27</v>
      </c>
      <c r="J34" s="9">
        <v>1</v>
      </c>
      <c r="K34" s="13">
        <v>3</v>
      </c>
      <c r="L34" s="13">
        <f t="shared" si="0"/>
        <v>0.03</v>
      </c>
      <c r="M34" s="9" t="s">
        <v>28</v>
      </c>
      <c r="N34" s="9" t="s">
        <v>29</v>
      </c>
      <c r="O34" s="9" t="s">
        <v>111</v>
      </c>
      <c r="P34" s="9" t="s">
        <v>112</v>
      </c>
      <c r="Q34" s="9"/>
      <c r="R34" s="9"/>
      <c r="S34" s="9"/>
      <c r="T34" s="9" t="s">
        <v>32</v>
      </c>
      <c r="U34" s="9" t="s">
        <v>33</v>
      </c>
      <c r="AG34" t="s">
        <v>37</v>
      </c>
      <c r="AH34">
        <f t="shared" si="7"/>
        <v>1</v>
      </c>
      <c r="AI34">
        <f t="shared" si="8"/>
        <v>0</v>
      </c>
      <c r="AJ34" t="b">
        <f t="shared" si="9"/>
        <v>0</v>
      </c>
    </row>
    <row r="35" spans="1:36" ht="15.6" x14ac:dyDescent="0.3">
      <c r="A35" s="9" t="s">
        <v>109</v>
      </c>
      <c r="B35" s="9" t="s">
        <v>116</v>
      </c>
      <c r="C35" s="9" t="s">
        <v>22</v>
      </c>
      <c r="D35" s="10">
        <v>45910</v>
      </c>
      <c r="E35" s="9" t="s">
        <v>23</v>
      </c>
      <c r="F35" s="9" t="s">
        <v>42</v>
      </c>
      <c r="G35" s="14" t="s">
        <v>43</v>
      </c>
      <c r="H35" s="9" t="s">
        <v>44</v>
      </c>
      <c r="I35" s="9" t="s">
        <v>27</v>
      </c>
      <c r="J35" s="9">
        <v>1</v>
      </c>
      <c r="K35" s="13">
        <v>10</v>
      </c>
      <c r="L35" s="13">
        <f t="shared" si="0"/>
        <v>0.1</v>
      </c>
      <c r="M35" s="9" t="s">
        <v>28</v>
      </c>
      <c r="N35" s="9" t="s">
        <v>29</v>
      </c>
      <c r="O35" s="9" t="s">
        <v>111</v>
      </c>
      <c r="P35" s="9" t="s">
        <v>112</v>
      </c>
      <c r="Q35" s="9"/>
      <c r="R35" s="9"/>
      <c r="S35" s="9"/>
      <c r="T35" s="9" t="s">
        <v>32</v>
      </c>
      <c r="U35" s="9" t="s">
        <v>33</v>
      </c>
      <c r="AG35" t="s">
        <v>62</v>
      </c>
      <c r="AH35">
        <f t="shared" si="7"/>
        <v>1</v>
      </c>
      <c r="AI35">
        <f t="shared" si="8"/>
        <v>0</v>
      </c>
      <c r="AJ35" t="b">
        <f t="shared" si="9"/>
        <v>0</v>
      </c>
    </row>
    <row r="36" spans="1:36" ht="15.6" x14ac:dyDescent="0.3">
      <c r="A36" s="9" t="s">
        <v>109</v>
      </c>
      <c r="B36" s="9" t="s">
        <v>117</v>
      </c>
      <c r="C36" s="9" t="s">
        <v>22</v>
      </c>
      <c r="D36" s="10">
        <v>45910</v>
      </c>
      <c r="E36" s="9" t="s">
        <v>23</v>
      </c>
      <c r="F36" s="11" t="s">
        <v>118</v>
      </c>
      <c r="G36" s="19" t="s">
        <v>119</v>
      </c>
      <c r="H36" s="9" t="s">
        <v>120</v>
      </c>
      <c r="I36" s="9" t="s">
        <v>27</v>
      </c>
      <c r="J36" s="9">
        <v>1</v>
      </c>
      <c r="K36" s="13">
        <v>10</v>
      </c>
      <c r="L36" s="13">
        <f t="shared" si="0"/>
        <v>0.1</v>
      </c>
      <c r="M36" s="9" t="s">
        <v>28</v>
      </c>
      <c r="N36" s="9" t="s">
        <v>29</v>
      </c>
      <c r="O36" s="9" t="s">
        <v>111</v>
      </c>
      <c r="P36" s="9" t="s">
        <v>112</v>
      </c>
      <c r="Q36" s="9"/>
      <c r="R36" s="9"/>
      <c r="S36" s="9"/>
      <c r="T36" s="9" t="s">
        <v>32</v>
      </c>
      <c r="U36" s="9" t="s">
        <v>33</v>
      </c>
      <c r="AG36" t="s">
        <v>119</v>
      </c>
      <c r="AH36">
        <f t="shared" si="7"/>
        <v>1</v>
      </c>
      <c r="AI36">
        <f t="shared" si="8"/>
        <v>0</v>
      </c>
      <c r="AJ36" t="b">
        <f t="shared" si="9"/>
        <v>0</v>
      </c>
    </row>
    <row r="37" spans="1:36" ht="15.6" x14ac:dyDescent="0.3">
      <c r="A37" s="9" t="s">
        <v>109</v>
      </c>
      <c r="B37" s="9" t="s">
        <v>121</v>
      </c>
      <c r="C37" s="9" t="s">
        <v>22</v>
      </c>
      <c r="D37" s="10">
        <v>45910</v>
      </c>
      <c r="E37" s="9" t="s">
        <v>23</v>
      </c>
      <c r="F37" s="11" t="s">
        <v>57</v>
      </c>
      <c r="G37" s="14" t="s">
        <v>58</v>
      </c>
      <c r="H37" s="9" t="s">
        <v>59</v>
      </c>
      <c r="I37" s="9" t="s">
        <v>27</v>
      </c>
      <c r="J37" s="9">
        <v>1</v>
      </c>
      <c r="K37" s="13">
        <v>60</v>
      </c>
      <c r="L37" s="13">
        <f t="shared" si="0"/>
        <v>0.6</v>
      </c>
      <c r="M37" s="9" t="s">
        <v>28</v>
      </c>
      <c r="N37" s="9" t="s">
        <v>29</v>
      </c>
      <c r="O37" s="9" t="s">
        <v>111</v>
      </c>
      <c r="P37" s="9" t="s">
        <v>112</v>
      </c>
      <c r="Q37" s="9"/>
      <c r="R37" s="9"/>
      <c r="S37" s="9"/>
      <c r="T37" s="9" t="s">
        <v>32</v>
      </c>
      <c r="U37" s="9" t="s">
        <v>33</v>
      </c>
      <c r="AJ37">
        <f>COUNT(AJ2:AJ36)</f>
        <v>7</v>
      </c>
    </row>
    <row r="38" spans="1:36" ht="15.6" x14ac:dyDescent="0.3">
      <c r="A38" s="9" t="s">
        <v>122</v>
      </c>
      <c r="B38" s="9" t="s">
        <v>123</v>
      </c>
      <c r="C38" s="9" t="s">
        <v>22</v>
      </c>
      <c r="D38" s="10">
        <v>45911</v>
      </c>
      <c r="E38" s="9" t="s">
        <v>23</v>
      </c>
      <c r="F38" s="9" t="s">
        <v>124</v>
      </c>
      <c r="G38" s="9" t="s">
        <v>125</v>
      </c>
      <c r="H38" s="9" t="s">
        <v>126</v>
      </c>
      <c r="I38" s="9" t="s">
        <v>27</v>
      </c>
      <c r="J38" s="9">
        <v>1</v>
      </c>
      <c r="K38" s="13">
        <v>90</v>
      </c>
      <c r="L38" s="13">
        <f t="shared" si="0"/>
        <v>0.9</v>
      </c>
      <c r="M38" s="9" t="s">
        <v>28</v>
      </c>
      <c r="N38" s="9" t="s">
        <v>29</v>
      </c>
      <c r="O38" s="9" t="s">
        <v>127</v>
      </c>
      <c r="P38" s="9" t="s">
        <v>128</v>
      </c>
      <c r="Q38" s="9"/>
      <c r="R38" s="9"/>
      <c r="S38" s="9"/>
      <c r="T38" s="9" t="s">
        <v>32</v>
      </c>
      <c r="U38" s="9" t="s">
        <v>33</v>
      </c>
    </row>
    <row r="39" spans="1:36" ht="15.6" x14ac:dyDescent="0.3">
      <c r="A39" s="9" t="s">
        <v>122</v>
      </c>
      <c r="B39" s="9" t="s">
        <v>129</v>
      </c>
      <c r="C39" s="9" t="s">
        <v>22</v>
      </c>
      <c r="D39" s="10">
        <v>45911</v>
      </c>
      <c r="E39" s="9" t="s">
        <v>23</v>
      </c>
      <c r="F39" s="9" t="s">
        <v>124</v>
      </c>
      <c r="G39" s="9" t="s">
        <v>130</v>
      </c>
      <c r="H39" s="9" t="s">
        <v>131</v>
      </c>
      <c r="I39" s="9" t="s">
        <v>27</v>
      </c>
      <c r="J39" s="9">
        <v>1</v>
      </c>
      <c r="K39" s="13">
        <v>10</v>
      </c>
      <c r="L39" s="13">
        <f t="shared" si="0"/>
        <v>0.1</v>
      </c>
      <c r="M39" s="9" t="s">
        <v>28</v>
      </c>
      <c r="N39" s="9" t="s">
        <v>29</v>
      </c>
      <c r="O39" s="9" t="s">
        <v>127</v>
      </c>
      <c r="P39" s="9" t="s">
        <v>128</v>
      </c>
      <c r="Q39" s="9"/>
      <c r="R39" s="9"/>
      <c r="S39" s="9"/>
      <c r="T39" s="9" t="s">
        <v>32</v>
      </c>
      <c r="U39" s="9" t="s">
        <v>33</v>
      </c>
    </row>
    <row r="40" spans="1:36" ht="15.6" x14ac:dyDescent="0.3">
      <c r="A40" s="9" t="s">
        <v>122</v>
      </c>
      <c r="B40" s="9" t="s">
        <v>132</v>
      </c>
      <c r="C40" s="9" t="s">
        <v>22</v>
      </c>
      <c r="D40" s="10">
        <v>45911</v>
      </c>
      <c r="E40" s="9" t="s">
        <v>23</v>
      </c>
      <c r="F40" s="11" t="s">
        <v>57</v>
      </c>
      <c r="G40" s="14" t="s">
        <v>58</v>
      </c>
      <c r="H40" s="9" t="s">
        <v>59</v>
      </c>
      <c r="I40" s="9" t="s">
        <v>27</v>
      </c>
      <c r="J40" s="9">
        <v>1</v>
      </c>
      <c r="K40" s="13">
        <v>80</v>
      </c>
      <c r="L40" s="13">
        <f t="shared" si="0"/>
        <v>0.8</v>
      </c>
      <c r="M40" s="9" t="s">
        <v>28</v>
      </c>
      <c r="N40" s="9" t="s">
        <v>29</v>
      </c>
      <c r="O40" s="9" t="s">
        <v>127</v>
      </c>
      <c r="P40" s="9" t="s">
        <v>128</v>
      </c>
      <c r="Q40" s="9"/>
      <c r="R40" s="9"/>
      <c r="S40" s="9"/>
      <c r="T40" s="9" t="s">
        <v>32</v>
      </c>
      <c r="U40" s="9" t="s">
        <v>33</v>
      </c>
    </row>
    <row r="41" spans="1:36" ht="15.6" x14ac:dyDescent="0.3">
      <c r="A41" s="9" t="s">
        <v>122</v>
      </c>
      <c r="B41" s="9" t="s">
        <v>133</v>
      </c>
      <c r="C41" s="9" t="s">
        <v>22</v>
      </c>
      <c r="D41" s="10">
        <v>45911</v>
      </c>
      <c r="E41" s="9" t="s">
        <v>23</v>
      </c>
      <c r="F41" s="20" t="s">
        <v>61</v>
      </c>
      <c r="G41" s="13" t="s">
        <v>62</v>
      </c>
      <c r="H41" s="13" t="s">
        <v>63</v>
      </c>
      <c r="I41" s="9" t="s">
        <v>27</v>
      </c>
      <c r="J41" s="9">
        <v>1</v>
      </c>
      <c r="K41" s="13">
        <v>5</v>
      </c>
      <c r="L41" s="13">
        <f t="shared" si="0"/>
        <v>0.05</v>
      </c>
      <c r="M41" s="9" t="s">
        <v>28</v>
      </c>
      <c r="N41" s="9" t="s">
        <v>29</v>
      </c>
      <c r="O41" s="9" t="s">
        <v>127</v>
      </c>
      <c r="P41" s="9" t="s">
        <v>128</v>
      </c>
      <c r="Q41" s="9"/>
      <c r="R41" s="9"/>
      <c r="S41" s="9"/>
      <c r="T41" s="9" t="s">
        <v>32</v>
      </c>
      <c r="U41" s="9" t="s">
        <v>33</v>
      </c>
    </row>
    <row r="42" spans="1:36" ht="15.6" x14ac:dyDescent="0.3">
      <c r="A42" s="9" t="s">
        <v>134</v>
      </c>
      <c r="B42" s="9" t="s">
        <v>135</v>
      </c>
      <c r="C42" s="9" t="s">
        <v>22</v>
      </c>
      <c r="D42" s="10">
        <v>45911</v>
      </c>
      <c r="E42" s="9" t="s">
        <v>23</v>
      </c>
      <c r="F42" s="9" t="s">
        <v>124</v>
      </c>
      <c r="G42" s="9" t="s">
        <v>125</v>
      </c>
      <c r="H42" s="9" t="s">
        <v>126</v>
      </c>
      <c r="I42" s="9" t="s">
        <v>27</v>
      </c>
      <c r="J42" s="9">
        <v>1</v>
      </c>
      <c r="K42" s="13">
        <v>90</v>
      </c>
      <c r="L42" s="13">
        <f t="shared" si="0"/>
        <v>0.9</v>
      </c>
      <c r="M42" s="9" t="s">
        <v>28</v>
      </c>
      <c r="N42" s="9" t="s">
        <v>29</v>
      </c>
      <c r="O42" s="9" t="s">
        <v>136</v>
      </c>
      <c r="P42" s="9" t="s">
        <v>137</v>
      </c>
      <c r="Q42" s="9"/>
      <c r="R42" s="9"/>
      <c r="S42" s="9"/>
      <c r="T42" s="9" t="s">
        <v>32</v>
      </c>
      <c r="U42" s="9" t="s">
        <v>33</v>
      </c>
    </row>
    <row r="43" spans="1:36" ht="15.6" x14ac:dyDescent="0.3">
      <c r="A43" s="9" t="s">
        <v>134</v>
      </c>
      <c r="B43" s="9" t="s">
        <v>138</v>
      </c>
      <c r="C43" s="9" t="s">
        <v>22</v>
      </c>
      <c r="D43" s="10">
        <v>45911</v>
      </c>
      <c r="E43" s="9" t="s">
        <v>23</v>
      </c>
      <c r="F43" s="9" t="s">
        <v>124</v>
      </c>
      <c r="G43" s="9" t="s">
        <v>130</v>
      </c>
      <c r="H43" s="9" t="s">
        <v>131</v>
      </c>
      <c r="I43" s="9" t="s">
        <v>27</v>
      </c>
      <c r="J43" s="9">
        <v>1</v>
      </c>
      <c r="K43" s="13">
        <v>5</v>
      </c>
      <c r="L43" s="13">
        <f t="shared" si="0"/>
        <v>0.05</v>
      </c>
      <c r="M43" s="9" t="s">
        <v>28</v>
      </c>
      <c r="N43" s="9" t="s">
        <v>29</v>
      </c>
      <c r="O43" s="9" t="s">
        <v>136</v>
      </c>
      <c r="P43" s="9" t="s">
        <v>137</v>
      </c>
      <c r="Q43" s="9"/>
      <c r="R43" s="9"/>
      <c r="S43" s="9"/>
      <c r="T43" s="9" t="s">
        <v>32</v>
      </c>
      <c r="U43" s="9" t="s">
        <v>33</v>
      </c>
    </row>
    <row r="44" spans="1:36" ht="15.6" x14ac:dyDescent="0.3">
      <c r="A44" s="9" t="s">
        <v>134</v>
      </c>
      <c r="B44" s="9" t="s">
        <v>139</v>
      </c>
      <c r="C44" s="9" t="s">
        <v>22</v>
      </c>
      <c r="D44" s="10">
        <v>45911</v>
      </c>
      <c r="E44" s="9" t="s">
        <v>23</v>
      </c>
      <c r="F44" s="9" t="s">
        <v>24</v>
      </c>
      <c r="G44" s="13" t="s">
        <v>25</v>
      </c>
      <c r="H44" s="9" t="s">
        <v>26</v>
      </c>
      <c r="I44" s="9" t="s">
        <v>27</v>
      </c>
      <c r="J44" s="9">
        <v>1</v>
      </c>
      <c r="K44" s="13">
        <v>5</v>
      </c>
      <c r="L44" s="13">
        <f t="shared" si="0"/>
        <v>0.05</v>
      </c>
      <c r="M44" s="9" t="s">
        <v>28</v>
      </c>
      <c r="N44" s="9" t="s">
        <v>29</v>
      </c>
      <c r="O44" s="9" t="s">
        <v>136</v>
      </c>
      <c r="P44" s="9" t="s">
        <v>137</v>
      </c>
      <c r="Q44" s="9"/>
      <c r="R44" s="9"/>
      <c r="S44" s="9"/>
      <c r="T44" s="9" t="s">
        <v>32</v>
      </c>
      <c r="U44" s="9" t="s">
        <v>33</v>
      </c>
    </row>
    <row r="45" spans="1:36" ht="15.6" x14ac:dyDescent="0.3">
      <c r="A45" s="9" t="s">
        <v>134</v>
      </c>
      <c r="B45" s="9" t="s">
        <v>140</v>
      </c>
      <c r="C45" s="9" t="s">
        <v>22</v>
      </c>
      <c r="D45" s="10">
        <v>45911</v>
      </c>
      <c r="E45" s="9" t="s">
        <v>23</v>
      </c>
      <c r="F45" s="20" t="s">
        <v>36</v>
      </c>
      <c r="G45" s="21" t="s">
        <v>101</v>
      </c>
      <c r="H45" s="13" t="s">
        <v>102</v>
      </c>
      <c r="I45" s="9" t="s">
        <v>27</v>
      </c>
      <c r="J45" s="9">
        <v>1</v>
      </c>
      <c r="K45" s="13">
        <v>5</v>
      </c>
      <c r="L45" s="13">
        <f t="shared" si="0"/>
        <v>0.05</v>
      </c>
      <c r="M45" s="9" t="s">
        <v>28</v>
      </c>
      <c r="N45" s="9" t="s">
        <v>29</v>
      </c>
      <c r="O45" s="9" t="s">
        <v>136</v>
      </c>
      <c r="P45" s="9" t="s">
        <v>137</v>
      </c>
      <c r="Q45" s="9"/>
      <c r="R45" s="9"/>
      <c r="S45" s="9"/>
      <c r="T45" s="9" t="s">
        <v>32</v>
      </c>
      <c r="U45" s="9" t="s">
        <v>33</v>
      </c>
    </row>
    <row r="46" spans="1:36" ht="15.6" x14ac:dyDescent="0.3">
      <c r="A46" s="9" t="s">
        <v>134</v>
      </c>
      <c r="B46" s="9" t="s">
        <v>141</v>
      </c>
      <c r="C46" s="9" t="s">
        <v>22</v>
      </c>
      <c r="D46" s="10">
        <v>45911</v>
      </c>
      <c r="E46" s="9" t="s">
        <v>23</v>
      </c>
      <c r="F46" s="11" t="s">
        <v>57</v>
      </c>
      <c r="G46" s="14" t="s">
        <v>58</v>
      </c>
      <c r="H46" s="9" t="s">
        <v>59</v>
      </c>
      <c r="I46" s="9" t="s">
        <v>27</v>
      </c>
      <c r="J46" s="9">
        <v>1</v>
      </c>
      <c r="K46" s="13">
        <v>80</v>
      </c>
      <c r="L46" s="13">
        <f t="shared" si="0"/>
        <v>0.8</v>
      </c>
      <c r="M46" s="9" t="s">
        <v>28</v>
      </c>
      <c r="N46" s="9" t="s">
        <v>29</v>
      </c>
      <c r="O46" s="9" t="s">
        <v>136</v>
      </c>
      <c r="P46" s="9" t="s">
        <v>137</v>
      </c>
      <c r="Q46" s="9"/>
      <c r="R46" s="9"/>
      <c r="S46" s="9"/>
      <c r="T46" s="9" t="s">
        <v>32</v>
      </c>
      <c r="U46" s="9" t="s">
        <v>33</v>
      </c>
    </row>
    <row r="47" spans="1:36" ht="15.6" x14ac:dyDescent="0.3">
      <c r="A47" s="9" t="s">
        <v>134</v>
      </c>
      <c r="B47" s="9" t="s">
        <v>142</v>
      </c>
      <c r="C47" s="9" t="s">
        <v>22</v>
      </c>
      <c r="D47" s="10">
        <v>45911</v>
      </c>
      <c r="E47" s="9" t="s">
        <v>23</v>
      </c>
      <c r="F47" s="11" t="s">
        <v>143</v>
      </c>
      <c r="G47" s="13" t="s">
        <v>144</v>
      </c>
      <c r="H47" s="13" t="s">
        <v>145</v>
      </c>
      <c r="I47" s="9" t="s">
        <v>27</v>
      </c>
      <c r="J47" s="9">
        <v>1</v>
      </c>
      <c r="K47" s="13">
        <v>15</v>
      </c>
      <c r="L47" s="13">
        <f t="shared" si="0"/>
        <v>0.15</v>
      </c>
      <c r="M47" s="9" t="s">
        <v>28</v>
      </c>
      <c r="N47" s="9" t="s">
        <v>29</v>
      </c>
      <c r="O47" s="9" t="s">
        <v>136</v>
      </c>
      <c r="P47" s="9" t="s">
        <v>137</v>
      </c>
      <c r="Q47" s="9"/>
      <c r="R47" s="9"/>
      <c r="S47" s="9"/>
      <c r="T47" s="9" t="s">
        <v>32</v>
      </c>
      <c r="U47" s="9" t="s">
        <v>33</v>
      </c>
    </row>
    <row r="48" spans="1:36" ht="15.6" x14ac:dyDescent="0.3">
      <c r="A48" s="9" t="s">
        <v>146</v>
      </c>
      <c r="B48" s="9" t="s">
        <v>147</v>
      </c>
      <c r="C48" s="9" t="s">
        <v>22</v>
      </c>
      <c r="D48" s="10">
        <v>45911</v>
      </c>
      <c r="E48" s="9" t="s">
        <v>23</v>
      </c>
      <c r="F48" s="9" t="s">
        <v>124</v>
      </c>
      <c r="G48" s="9" t="s">
        <v>125</v>
      </c>
      <c r="H48" s="9" t="s">
        <v>126</v>
      </c>
      <c r="I48" s="9" t="s">
        <v>27</v>
      </c>
      <c r="J48" s="9">
        <v>1</v>
      </c>
      <c r="K48" s="13">
        <v>55</v>
      </c>
      <c r="L48" s="13">
        <f t="shared" si="0"/>
        <v>0.55000000000000004</v>
      </c>
      <c r="M48" s="9" t="s">
        <v>28</v>
      </c>
      <c r="N48" s="9" t="s">
        <v>29</v>
      </c>
      <c r="O48" s="9" t="s">
        <v>148</v>
      </c>
      <c r="P48" s="9" t="s">
        <v>149</v>
      </c>
      <c r="Q48" s="9"/>
      <c r="R48" s="9"/>
      <c r="S48" s="9"/>
      <c r="T48" s="9" t="s">
        <v>32</v>
      </c>
      <c r="U48" s="9" t="s">
        <v>33</v>
      </c>
    </row>
    <row r="49" spans="1:21" ht="15.6" x14ac:dyDescent="0.3">
      <c r="A49" s="9" t="s">
        <v>146</v>
      </c>
      <c r="B49" s="9" t="s">
        <v>150</v>
      </c>
      <c r="C49" s="9" t="s">
        <v>22</v>
      </c>
      <c r="D49" s="10">
        <v>45911</v>
      </c>
      <c r="E49" s="9" t="s">
        <v>23</v>
      </c>
      <c r="F49" s="9" t="s">
        <v>124</v>
      </c>
      <c r="G49" s="9" t="s">
        <v>130</v>
      </c>
      <c r="H49" s="9" t="s">
        <v>131</v>
      </c>
      <c r="I49" s="9" t="s">
        <v>27</v>
      </c>
      <c r="J49" s="9">
        <v>1</v>
      </c>
      <c r="K49" s="13">
        <v>35</v>
      </c>
      <c r="L49" s="13">
        <f t="shared" si="0"/>
        <v>0.35</v>
      </c>
      <c r="M49" s="9" t="s">
        <v>28</v>
      </c>
      <c r="N49" s="9" t="s">
        <v>29</v>
      </c>
      <c r="O49" s="9" t="s">
        <v>148</v>
      </c>
      <c r="P49" s="9" t="s">
        <v>149</v>
      </c>
      <c r="Q49" s="9"/>
      <c r="R49" s="9"/>
      <c r="S49" s="9"/>
      <c r="T49" s="9" t="s">
        <v>32</v>
      </c>
      <c r="U49" s="9" t="s">
        <v>33</v>
      </c>
    </row>
    <row r="50" spans="1:21" ht="15.6" x14ac:dyDescent="0.3">
      <c r="A50" s="9" t="s">
        <v>146</v>
      </c>
      <c r="B50" s="9" t="s">
        <v>151</v>
      </c>
      <c r="C50" s="9" t="s">
        <v>22</v>
      </c>
      <c r="D50" s="10">
        <v>45911</v>
      </c>
      <c r="E50" s="9" t="s">
        <v>23</v>
      </c>
      <c r="F50" s="9" t="s">
        <v>24</v>
      </c>
      <c r="G50" s="13" t="s">
        <v>25</v>
      </c>
      <c r="H50" s="9" t="s">
        <v>26</v>
      </c>
      <c r="I50" s="9" t="s">
        <v>27</v>
      </c>
      <c r="J50" s="9">
        <v>1</v>
      </c>
      <c r="K50" s="13">
        <v>10</v>
      </c>
      <c r="L50" s="13">
        <f t="shared" si="0"/>
        <v>0.1</v>
      </c>
      <c r="M50" s="9" t="s">
        <v>28</v>
      </c>
      <c r="N50" s="9" t="s">
        <v>29</v>
      </c>
      <c r="O50" s="9" t="s">
        <v>148</v>
      </c>
      <c r="P50" s="9" t="s">
        <v>149</v>
      </c>
      <c r="Q50" s="9"/>
      <c r="R50" s="9"/>
      <c r="S50" s="9"/>
      <c r="T50" s="9" t="s">
        <v>32</v>
      </c>
      <c r="U50" s="9" t="s">
        <v>33</v>
      </c>
    </row>
    <row r="51" spans="1:21" ht="15.6" x14ac:dyDescent="0.3">
      <c r="A51" s="9" t="s">
        <v>146</v>
      </c>
      <c r="B51" s="9" t="s">
        <v>152</v>
      </c>
      <c r="C51" s="9" t="s">
        <v>22</v>
      </c>
      <c r="D51" s="10">
        <v>45911</v>
      </c>
      <c r="E51" s="9" t="s">
        <v>23</v>
      </c>
      <c r="F51" s="11" t="s">
        <v>57</v>
      </c>
      <c r="G51" s="14" t="s">
        <v>58</v>
      </c>
      <c r="H51" s="9" t="s">
        <v>59</v>
      </c>
      <c r="I51" s="9" t="s">
        <v>27</v>
      </c>
      <c r="J51" s="9">
        <v>1</v>
      </c>
      <c r="K51" s="13">
        <v>90</v>
      </c>
      <c r="L51" s="13">
        <f t="shared" si="0"/>
        <v>0.9</v>
      </c>
      <c r="M51" s="9" t="s">
        <v>28</v>
      </c>
      <c r="N51" s="9" t="s">
        <v>29</v>
      </c>
      <c r="O51" s="9" t="s">
        <v>148</v>
      </c>
      <c r="P51" s="9" t="s">
        <v>149</v>
      </c>
      <c r="Q51" s="9"/>
      <c r="R51" s="9"/>
      <c r="S51" s="9"/>
      <c r="T51" s="9" t="s">
        <v>32</v>
      </c>
      <c r="U51" s="9" t="s">
        <v>33</v>
      </c>
    </row>
    <row r="52" spans="1:21" ht="15.6" x14ac:dyDescent="0.3">
      <c r="A52" s="9" t="s">
        <v>146</v>
      </c>
      <c r="B52" s="9" t="s">
        <v>153</v>
      </c>
      <c r="C52" s="9" t="s">
        <v>22</v>
      </c>
      <c r="D52" s="10">
        <v>45911</v>
      </c>
      <c r="E52" s="9" t="s">
        <v>23</v>
      </c>
      <c r="F52" s="20" t="s">
        <v>36</v>
      </c>
      <c r="G52" s="13" t="s">
        <v>101</v>
      </c>
      <c r="H52" s="13" t="s">
        <v>102</v>
      </c>
      <c r="I52" s="9" t="s">
        <v>27</v>
      </c>
      <c r="J52" s="9">
        <v>1</v>
      </c>
      <c r="K52" s="13">
        <v>5</v>
      </c>
      <c r="L52" s="13">
        <f t="shared" si="0"/>
        <v>0.05</v>
      </c>
      <c r="M52" s="9" t="s">
        <v>28</v>
      </c>
      <c r="N52" s="9" t="s">
        <v>29</v>
      </c>
      <c r="O52" s="9" t="s">
        <v>148</v>
      </c>
      <c r="P52" s="9" t="s">
        <v>149</v>
      </c>
      <c r="Q52" s="9"/>
      <c r="R52" s="9"/>
      <c r="S52" s="9"/>
      <c r="T52" s="9" t="s">
        <v>32</v>
      </c>
      <c r="U52" s="9" t="s">
        <v>33</v>
      </c>
    </row>
    <row r="53" spans="1:21" ht="15.6" x14ac:dyDescent="0.3">
      <c r="A53" s="9" t="s">
        <v>154</v>
      </c>
      <c r="B53" s="9" t="s">
        <v>155</v>
      </c>
      <c r="C53" s="9" t="s">
        <v>22</v>
      </c>
      <c r="D53" s="10">
        <v>45911</v>
      </c>
      <c r="E53" s="9" t="s">
        <v>23</v>
      </c>
      <c r="F53" s="9" t="s">
        <v>124</v>
      </c>
      <c r="G53" s="9" t="s">
        <v>125</v>
      </c>
      <c r="H53" s="9" t="s">
        <v>126</v>
      </c>
      <c r="I53" s="9" t="s">
        <v>27</v>
      </c>
      <c r="J53" s="9">
        <v>1</v>
      </c>
      <c r="K53" s="9">
        <v>80</v>
      </c>
      <c r="L53" s="13">
        <f t="shared" si="0"/>
        <v>0.8</v>
      </c>
      <c r="M53" s="9" t="s">
        <v>28</v>
      </c>
      <c r="N53" s="9" t="s">
        <v>29</v>
      </c>
      <c r="O53" s="9" t="s">
        <v>156</v>
      </c>
      <c r="P53" s="9" t="s">
        <v>88</v>
      </c>
      <c r="Q53" s="9"/>
      <c r="R53" s="9"/>
      <c r="S53" s="9"/>
      <c r="T53" s="9" t="s">
        <v>32</v>
      </c>
      <c r="U53" s="9" t="s">
        <v>33</v>
      </c>
    </row>
    <row r="54" spans="1:21" ht="15.6" x14ac:dyDescent="0.3">
      <c r="A54" s="9" t="s">
        <v>154</v>
      </c>
      <c r="B54" s="9" t="s">
        <v>157</v>
      </c>
      <c r="C54" s="9" t="s">
        <v>22</v>
      </c>
      <c r="D54" s="10">
        <v>45911</v>
      </c>
      <c r="E54" s="9" t="s">
        <v>23</v>
      </c>
      <c r="F54" s="9" t="s">
        <v>124</v>
      </c>
      <c r="G54" s="9" t="s">
        <v>130</v>
      </c>
      <c r="H54" s="9" t="s">
        <v>131</v>
      </c>
      <c r="I54" s="9" t="s">
        <v>27</v>
      </c>
      <c r="J54" s="9">
        <v>1</v>
      </c>
      <c r="K54" s="9">
        <v>15</v>
      </c>
      <c r="L54" s="13">
        <f t="shared" si="0"/>
        <v>0.15</v>
      </c>
      <c r="M54" s="9" t="s">
        <v>28</v>
      </c>
      <c r="N54" s="9" t="s">
        <v>29</v>
      </c>
      <c r="O54" s="9" t="s">
        <v>156</v>
      </c>
      <c r="P54" s="9" t="s">
        <v>88</v>
      </c>
      <c r="Q54" s="9"/>
      <c r="R54" s="9"/>
      <c r="S54" s="9"/>
      <c r="T54" s="9" t="s">
        <v>32</v>
      </c>
      <c r="U54" s="9" t="s">
        <v>33</v>
      </c>
    </row>
    <row r="55" spans="1:21" ht="15.6" x14ac:dyDescent="0.3">
      <c r="A55" s="9" t="s">
        <v>154</v>
      </c>
      <c r="B55" s="9" t="s">
        <v>158</v>
      </c>
      <c r="C55" s="9" t="s">
        <v>22</v>
      </c>
      <c r="D55" s="10">
        <v>45911</v>
      </c>
      <c r="E55" s="9" t="s">
        <v>23</v>
      </c>
      <c r="F55" s="11" t="s">
        <v>24</v>
      </c>
      <c r="G55" s="14" t="s">
        <v>25</v>
      </c>
      <c r="H55" s="9" t="s">
        <v>26</v>
      </c>
      <c r="I55" s="9" t="s">
        <v>27</v>
      </c>
      <c r="J55" s="9">
        <v>1</v>
      </c>
      <c r="K55" s="9">
        <v>5</v>
      </c>
      <c r="L55" s="13">
        <f t="shared" si="0"/>
        <v>0.05</v>
      </c>
      <c r="M55" s="9" t="s">
        <v>28</v>
      </c>
      <c r="N55" s="9" t="s">
        <v>29</v>
      </c>
      <c r="O55" s="9" t="s">
        <v>156</v>
      </c>
      <c r="P55" s="9" t="s">
        <v>88</v>
      </c>
      <c r="Q55" s="9"/>
      <c r="R55" s="9"/>
      <c r="S55" s="9"/>
      <c r="T55" s="9" t="s">
        <v>32</v>
      </c>
      <c r="U55" s="9" t="s">
        <v>33</v>
      </c>
    </row>
    <row r="56" spans="1:21" ht="15.6" x14ac:dyDescent="0.3">
      <c r="A56" s="9" t="s">
        <v>154</v>
      </c>
      <c r="B56" s="9" t="s">
        <v>159</v>
      </c>
      <c r="C56" s="9" t="s">
        <v>22</v>
      </c>
      <c r="D56" s="10">
        <v>45911</v>
      </c>
      <c r="E56" s="9" t="s">
        <v>23</v>
      </c>
      <c r="F56" s="9" t="s">
        <v>36</v>
      </c>
      <c r="G56" s="9" t="s">
        <v>101</v>
      </c>
      <c r="H56" s="9" t="s">
        <v>102</v>
      </c>
      <c r="I56" s="9" t="s">
        <v>27</v>
      </c>
      <c r="J56" s="9">
        <v>1</v>
      </c>
      <c r="K56" s="9">
        <v>5</v>
      </c>
      <c r="L56" s="13">
        <f t="shared" si="0"/>
        <v>0.05</v>
      </c>
      <c r="M56" s="9" t="s">
        <v>28</v>
      </c>
      <c r="N56" s="9" t="s">
        <v>29</v>
      </c>
      <c r="O56" s="9" t="s">
        <v>156</v>
      </c>
      <c r="P56" s="9" t="s">
        <v>88</v>
      </c>
      <c r="Q56" s="9"/>
      <c r="R56" s="9"/>
      <c r="S56" s="9"/>
      <c r="T56" s="9" t="s">
        <v>32</v>
      </c>
      <c r="U56" s="9" t="s">
        <v>33</v>
      </c>
    </row>
    <row r="57" spans="1:21" ht="15.6" x14ac:dyDescent="0.3">
      <c r="A57" s="9" t="s">
        <v>154</v>
      </c>
      <c r="B57" s="9" t="s">
        <v>160</v>
      </c>
      <c r="C57" s="9" t="s">
        <v>22</v>
      </c>
      <c r="D57" s="10">
        <v>45911</v>
      </c>
      <c r="E57" s="9" t="s">
        <v>23</v>
      </c>
      <c r="F57" s="9" t="s">
        <v>57</v>
      </c>
      <c r="G57" s="9" t="s">
        <v>58</v>
      </c>
      <c r="H57" s="9" t="s">
        <v>59</v>
      </c>
      <c r="I57" s="9" t="s">
        <v>27</v>
      </c>
      <c r="J57" s="9">
        <v>1</v>
      </c>
      <c r="K57" s="9">
        <v>90</v>
      </c>
      <c r="L57" s="13">
        <f t="shared" si="0"/>
        <v>0.9</v>
      </c>
      <c r="M57" s="9" t="s">
        <v>28</v>
      </c>
      <c r="N57" s="9" t="s">
        <v>29</v>
      </c>
      <c r="O57" s="9" t="s">
        <v>156</v>
      </c>
      <c r="P57" s="9" t="s">
        <v>88</v>
      </c>
      <c r="Q57" s="9"/>
      <c r="R57" s="9"/>
      <c r="S57" s="9"/>
      <c r="T57" s="9" t="s">
        <v>32</v>
      </c>
      <c r="U57" s="9" t="s">
        <v>33</v>
      </c>
    </row>
    <row r="58" spans="1:21" ht="15.6" x14ac:dyDescent="0.3">
      <c r="A58" s="9" t="s">
        <v>161</v>
      </c>
      <c r="B58" s="9" t="s">
        <v>162</v>
      </c>
      <c r="C58" s="9" t="s">
        <v>22</v>
      </c>
      <c r="D58" s="10">
        <v>45911</v>
      </c>
      <c r="E58" s="9" t="s">
        <v>23</v>
      </c>
      <c r="F58" s="11" t="s">
        <v>61</v>
      </c>
      <c r="G58" s="14" t="s">
        <v>62</v>
      </c>
      <c r="H58" s="9" t="s">
        <v>63</v>
      </c>
      <c r="I58" s="9" t="s">
        <v>27</v>
      </c>
      <c r="J58" s="9">
        <v>1</v>
      </c>
      <c r="K58" s="9">
        <v>15</v>
      </c>
      <c r="L58" s="13">
        <f t="shared" si="0"/>
        <v>0.15</v>
      </c>
      <c r="M58" s="9" t="s">
        <v>28</v>
      </c>
      <c r="N58" s="9" t="s">
        <v>29</v>
      </c>
      <c r="O58" s="9" t="s">
        <v>163</v>
      </c>
      <c r="P58" s="9" t="s">
        <v>164</v>
      </c>
      <c r="Q58" s="9"/>
      <c r="R58" s="9"/>
      <c r="S58" s="9"/>
      <c r="T58" s="9" t="s">
        <v>32</v>
      </c>
      <c r="U58" s="9" t="s">
        <v>33</v>
      </c>
    </row>
    <row r="59" spans="1:21" ht="15.6" x14ac:dyDescent="0.3">
      <c r="A59" s="9" t="s">
        <v>161</v>
      </c>
      <c r="B59" s="9" t="s">
        <v>165</v>
      </c>
      <c r="C59" s="9" t="s">
        <v>22</v>
      </c>
      <c r="D59" s="10">
        <v>45911</v>
      </c>
      <c r="E59" s="9" t="s">
        <v>23</v>
      </c>
      <c r="F59" s="9" t="s">
        <v>24</v>
      </c>
      <c r="G59" s="13" t="s">
        <v>25</v>
      </c>
      <c r="H59" s="9" t="s">
        <v>26</v>
      </c>
      <c r="I59" s="9" t="s">
        <v>27</v>
      </c>
      <c r="J59" s="9">
        <v>1</v>
      </c>
      <c r="K59" s="9">
        <v>10</v>
      </c>
      <c r="L59" s="13">
        <f t="shared" si="0"/>
        <v>0.1</v>
      </c>
      <c r="M59" s="9" t="s">
        <v>28</v>
      </c>
      <c r="N59" s="9" t="s">
        <v>29</v>
      </c>
      <c r="O59" s="9" t="s">
        <v>163</v>
      </c>
      <c r="P59" s="9" t="s">
        <v>164</v>
      </c>
      <c r="Q59" s="9"/>
      <c r="R59" s="9"/>
      <c r="S59" s="9"/>
      <c r="T59" s="9" t="s">
        <v>32</v>
      </c>
      <c r="U59" s="9" t="s">
        <v>33</v>
      </c>
    </row>
    <row r="60" spans="1:21" ht="15.6" x14ac:dyDescent="0.3">
      <c r="A60" s="9" t="s">
        <v>161</v>
      </c>
      <c r="B60" s="9" t="s">
        <v>166</v>
      </c>
      <c r="C60" s="9" t="s">
        <v>22</v>
      </c>
      <c r="D60" s="10">
        <v>45911</v>
      </c>
      <c r="E60" s="9" t="s">
        <v>23</v>
      </c>
      <c r="F60" s="9" t="s">
        <v>42</v>
      </c>
      <c r="G60" s="17" t="s">
        <v>167</v>
      </c>
      <c r="H60" s="9" t="s">
        <v>168</v>
      </c>
      <c r="I60" s="9" t="s">
        <v>27</v>
      </c>
      <c r="J60" s="9">
        <v>1</v>
      </c>
      <c r="K60" s="9">
        <v>80</v>
      </c>
      <c r="L60" s="13">
        <f t="shared" si="0"/>
        <v>0.8</v>
      </c>
      <c r="M60" s="9" t="s">
        <v>28</v>
      </c>
      <c r="N60" s="9" t="s">
        <v>29</v>
      </c>
      <c r="O60" s="9" t="s">
        <v>163</v>
      </c>
      <c r="P60" s="9" t="s">
        <v>164</v>
      </c>
      <c r="Q60" s="9"/>
      <c r="R60" s="9"/>
      <c r="S60" s="9"/>
      <c r="T60" s="9" t="s">
        <v>32</v>
      </c>
      <c r="U60" s="9" t="s">
        <v>33</v>
      </c>
    </row>
    <row r="61" spans="1:21" ht="15.6" x14ac:dyDescent="0.3">
      <c r="A61" s="9" t="s">
        <v>161</v>
      </c>
      <c r="B61" s="9" t="s">
        <v>169</v>
      </c>
      <c r="C61" s="9" t="s">
        <v>22</v>
      </c>
      <c r="D61" s="10">
        <v>45911</v>
      </c>
      <c r="E61" s="9" t="s">
        <v>23</v>
      </c>
      <c r="F61" s="20" t="s">
        <v>36</v>
      </c>
      <c r="G61" s="9" t="s">
        <v>101</v>
      </c>
      <c r="H61" s="9" t="s">
        <v>102</v>
      </c>
      <c r="I61" s="9" t="s">
        <v>27</v>
      </c>
      <c r="J61" s="9">
        <v>1</v>
      </c>
      <c r="K61" s="9">
        <v>10</v>
      </c>
      <c r="L61" s="13">
        <f t="shared" si="0"/>
        <v>0.1</v>
      </c>
      <c r="M61" s="9" t="s">
        <v>28</v>
      </c>
      <c r="N61" s="9" t="s">
        <v>29</v>
      </c>
      <c r="O61" s="9" t="s">
        <v>163</v>
      </c>
      <c r="P61" s="9" t="s">
        <v>164</v>
      </c>
      <c r="Q61" s="9"/>
      <c r="R61" s="9"/>
      <c r="S61" s="9"/>
      <c r="T61" s="9" t="s">
        <v>32</v>
      </c>
      <c r="U61" s="9" t="s">
        <v>33</v>
      </c>
    </row>
    <row r="62" spans="1:21" ht="15.6" x14ac:dyDescent="0.3">
      <c r="A62" s="9" t="s">
        <v>161</v>
      </c>
      <c r="B62" s="9" t="s">
        <v>170</v>
      </c>
      <c r="C62" s="9" t="s">
        <v>22</v>
      </c>
      <c r="D62" s="10">
        <v>45911</v>
      </c>
      <c r="E62" s="9" t="s">
        <v>23</v>
      </c>
      <c r="F62" s="9" t="s">
        <v>42</v>
      </c>
      <c r="G62" s="9" t="s">
        <v>171</v>
      </c>
      <c r="H62" s="9" t="s">
        <v>172</v>
      </c>
      <c r="I62" s="9" t="s">
        <v>27</v>
      </c>
      <c r="J62" s="9">
        <v>1</v>
      </c>
      <c r="K62" s="9">
        <v>20</v>
      </c>
      <c r="L62" s="13">
        <f t="shared" si="0"/>
        <v>0.2</v>
      </c>
      <c r="M62" s="9" t="s">
        <v>28</v>
      </c>
      <c r="N62" s="9" t="s">
        <v>29</v>
      </c>
      <c r="O62" s="9" t="s">
        <v>163</v>
      </c>
      <c r="P62" s="9" t="s">
        <v>164</v>
      </c>
      <c r="Q62" s="9"/>
      <c r="R62" s="9"/>
      <c r="S62" s="9"/>
      <c r="T62" s="9" t="s">
        <v>32</v>
      </c>
      <c r="U62" s="9" t="s">
        <v>33</v>
      </c>
    </row>
    <row r="63" spans="1:21" ht="15.6" x14ac:dyDescent="0.3">
      <c r="A63" s="9" t="s">
        <v>161</v>
      </c>
      <c r="B63" s="9" t="s">
        <v>173</v>
      </c>
      <c r="C63" s="9" t="s">
        <v>22</v>
      </c>
      <c r="D63" s="10">
        <v>45911</v>
      </c>
      <c r="E63" s="9" t="s">
        <v>23</v>
      </c>
      <c r="F63" s="11" t="s">
        <v>47</v>
      </c>
      <c r="G63" s="22" t="s">
        <v>48</v>
      </c>
      <c r="H63" s="22" t="s">
        <v>49</v>
      </c>
      <c r="I63" s="9" t="s">
        <v>27</v>
      </c>
      <c r="J63" s="9">
        <v>1</v>
      </c>
      <c r="K63" s="9">
        <v>80</v>
      </c>
      <c r="L63" s="13">
        <f t="shared" si="0"/>
        <v>0.8</v>
      </c>
      <c r="M63" s="9" t="s">
        <v>28</v>
      </c>
      <c r="N63" s="9" t="s">
        <v>29</v>
      </c>
      <c r="O63" s="9" t="s">
        <v>163</v>
      </c>
      <c r="P63" s="9" t="s">
        <v>164</v>
      </c>
      <c r="Q63" s="9"/>
      <c r="R63" s="9"/>
      <c r="S63" s="9"/>
      <c r="T63" s="9" t="s">
        <v>32</v>
      </c>
      <c r="U63" s="9" t="s">
        <v>33</v>
      </c>
    </row>
    <row r="64" spans="1:21" ht="15.6" x14ac:dyDescent="0.3">
      <c r="A64" s="9" t="s">
        <v>174</v>
      </c>
      <c r="B64" s="9" t="s">
        <v>175</v>
      </c>
      <c r="C64" s="9" t="s">
        <v>22</v>
      </c>
      <c r="D64" s="10">
        <v>45911</v>
      </c>
      <c r="E64" s="9" t="s">
        <v>23</v>
      </c>
      <c r="F64" s="9" t="s">
        <v>176</v>
      </c>
      <c r="G64" s="9" t="s">
        <v>177</v>
      </c>
      <c r="H64" s="9" t="s">
        <v>178</v>
      </c>
      <c r="I64" s="9" t="s">
        <v>27</v>
      </c>
      <c r="J64" s="9">
        <v>1</v>
      </c>
      <c r="K64" s="9">
        <v>5</v>
      </c>
      <c r="L64" s="13">
        <f t="shared" si="0"/>
        <v>0.05</v>
      </c>
      <c r="M64" s="9" t="s">
        <v>28</v>
      </c>
      <c r="N64" s="9" t="s">
        <v>29</v>
      </c>
      <c r="O64" s="9" t="s">
        <v>179</v>
      </c>
      <c r="P64" s="9" t="s">
        <v>94</v>
      </c>
      <c r="Q64" s="9"/>
      <c r="R64" s="9"/>
      <c r="S64" s="9"/>
      <c r="T64" s="9" t="s">
        <v>32</v>
      </c>
      <c r="U64" s="9" t="s">
        <v>33</v>
      </c>
    </row>
    <row r="65" spans="1:21" ht="15.6" x14ac:dyDescent="0.3">
      <c r="A65" s="9" t="s">
        <v>174</v>
      </c>
      <c r="B65" s="9" t="s">
        <v>180</v>
      </c>
      <c r="C65" s="9" t="s">
        <v>22</v>
      </c>
      <c r="D65" s="10">
        <v>45911</v>
      </c>
      <c r="E65" s="9" t="s">
        <v>23</v>
      </c>
      <c r="F65" s="9" t="s">
        <v>124</v>
      </c>
      <c r="G65" s="9" t="s">
        <v>125</v>
      </c>
      <c r="H65" s="9" t="s">
        <v>126</v>
      </c>
      <c r="I65" s="9" t="s">
        <v>27</v>
      </c>
      <c r="J65" s="9">
        <v>1</v>
      </c>
      <c r="K65" s="9">
        <v>60</v>
      </c>
      <c r="L65" s="13">
        <f t="shared" si="0"/>
        <v>0.6</v>
      </c>
      <c r="M65" s="9" t="s">
        <v>28</v>
      </c>
      <c r="N65" s="9" t="s">
        <v>29</v>
      </c>
      <c r="O65" s="9" t="s">
        <v>179</v>
      </c>
      <c r="P65" s="9" t="s">
        <v>94</v>
      </c>
      <c r="Q65" s="9"/>
      <c r="R65" s="9"/>
      <c r="S65" s="9"/>
      <c r="T65" s="9" t="s">
        <v>32</v>
      </c>
      <c r="U65" s="9" t="s">
        <v>33</v>
      </c>
    </row>
    <row r="66" spans="1:21" ht="15.6" x14ac:dyDescent="0.3">
      <c r="A66" s="9" t="s">
        <v>174</v>
      </c>
      <c r="B66" s="9" t="s">
        <v>181</v>
      </c>
      <c r="C66" s="9" t="s">
        <v>22</v>
      </c>
      <c r="D66" s="10">
        <v>45911</v>
      </c>
      <c r="E66" s="9" t="s">
        <v>23</v>
      </c>
      <c r="F66" s="9" t="s">
        <v>124</v>
      </c>
      <c r="G66" s="9" t="s">
        <v>130</v>
      </c>
      <c r="H66" s="9" t="s">
        <v>131</v>
      </c>
      <c r="I66" s="9" t="s">
        <v>27</v>
      </c>
      <c r="J66" s="9">
        <v>1</v>
      </c>
      <c r="K66" s="9">
        <v>20</v>
      </c>
      <c r="L66" s="13">
        <f t="shared" si="0"/>
        <v>0.2</v>
      </c>
      <c r="M66" s="9" t="s">
        <v>28</v>
      </c>
      <c r="N66" s="9" t="s">
        <v>29</v>
      </c>
      <c r="O66" s="9" t="s">
        <v>179</v>
      </c>
      <c r="P66" s="9" t="s">
        <v>94</v>
      </c>
      <c r="Q66" s="9"/>
      <c r="R66" s="9"/>
      <c r="S66" s="9"/>
      <c r="T66" s="9" t="s">
        <v>32</v>
      </c>
      <c r="U66" s="9" t="s">
        <v>33</v>
      </c>
    </row>
    <row r="67" spans="1:21" ht="15.6" x14ac:dyDescent="0.3">
      <c r="A67" s="9" t="s">
        <v>174</v>
      </c>
      <c r="B67" s="9" t="s">
        <v>182</v>
      </c>
      <c r="C67" s="9" t="s">
        <v>22</v>
      </c>
      <c r="D67" s="10">
        <v>45911</v>
      </c>
      <c r="E67" s="9" t="s">
        <v>23</v>
      </c>
      <c r="F67" s="9" t="s">
        <v>57</v>
      </c>
      <c r="G67" s="9" t="s">
        <v>58</v>
      </c>
      <c r="H67" s="9" t="s">
        <v>59</v>
      </c>
      <c r="I67" s="9" t="s">
        <v>27</v>
      </c>
      <c r="J67" s="9">
        <v>1</v>
      </c>
      <c r="K67" s="9">
        <v>80</v>
      </c>
      <c r="L67" s="13">
        <f t="shared" ref="L67:L130" si="10">K67/100</f>
        <v>0.8</v>
      </c>
      <c r="M67" s="9" t="s">
        <v>28</v>
      </c>
      <c r="N67" s="9" t="s">
        <v>29</v>
      </c>
      <c r="O67" s="9" t="s">
        <v>179</v>
      </c>
      <c r="P67" s="9" t="s">
        <v>94</v>
      </c>
      <c r="Q67" s="9"/>
      <c r="R67" s="9"/>
      <c r="S67" s="9"/>
      <c r="T67" s="9" t="s">
        <v>32</v>
      </c>
      <c r="U67" s="9" t="s">
        <v>33</v>
      </c>
    </row>
    <row r="68" spans="1:21" ht="15.6" x14ac:dyDescent="0.3">
      <c r="A68" s="9" t="s">
        <v>174</v>
      </c>
      <c r="B68" s="9" t="s">
        <v>183</v>
      </c>
      <c r="C68" s="9" t="s">
        <v>22</v>
      </c>
      <c r="D68" s="10">
        <v>45911</v>
      </c>
      <c r="E68" s="9" t="s">
        <v>23</v>
      </c>
      <c r="F68" s="9" t="s">
        <v>42</v>
      </c>
      <c r="G68" s="9" t="s">
        <v>171</v>
      </c>
      <c r="H68" s="9" t="s">
        <v>172</v>
      </c>
      <c r="I68" s="9" t="s">
        <v>27</v>
      </c>
      <c r="J68" s="9">
        <v>1</v>
      </c>
      <c r="K68" s="9">
        <v>10</v>
      </c>
      <c r="L68" s="13">
        <f t="shared" si="10"/>
        <v>0.1</v>
      </c>
      <c r="M68" s="9" t="s">
        <v>28</v>
      </c>
      <c r="N68" s="9" t="s">
        <v>29</v>
      </c>
      <c r="O68" s="9" t="s">
        <v>179</v>
      </c>
      <c r="P68" s="9" t="s">
        <v>94</v>
      </c>
      <c r="Q68" s="9"/>
      <c r="R68" s="9"/>
      <c r="S68" s="9"/>
      <c r="T68" s="9" t="s">
        <v>32</v>
      </c>
      <c r="U68" s="9" t="s">
        <v>33</v>
      </c>
    </row>
    <row r="69" spans="1:21" ht="15.6" x14ac:dyDescent="0.3">
      <c r="A69" s="9" t="s">
        <v>174</v>
      </c>
      <c r="B69" s="9" t="s">
        <v>184</v>
      </c>
      <c r="C69" s="9" t="s">
        <v>22</v>
      </c>
      <c r="D69" s="10">
        <v>45911</v>
      </c>
      <c r="E69" s="9" t="s">
        <v>23</v>
      </c>
      <c r="F69" s="11" t="s">
        <v>143</v>
      </c>
      <c r="G69" s="13" t="s">
        <v>144</v>
      </c>
      <c r="H69" s="13" t="s">
        <v>145</v>
      </c>
      <c r="I69" s="9" t="s">
        <v>27</v>
      </c>
      <c r="J69" s="9">
        <v>1</v>
      </c>
      <c r="K69" s="9">
        <v>5</v>
      </c>
      <c r="L69" s="13">
        <f t="shared" si="10"/>
        <v>0.05</v>
      </c>
      <c r="M69" s="9" t="s">
        <v>28</v>
      </c>
      <c r="N69" s="9" t="s">
        <v>29</v>
      </c>
      <c r="O69" s="9" t="s">
        <v>179</v>
      </c>
      <c r="P69" s="9" t="s">
        <v>94</v>
      </c>
      <c r="Q69" s="9"/>
      <c r="R69" s="9"/>
      <c r="S69" s="9"/>
      <c r="T69" s="9" t="s">
        <v>32</v>
      </c>
      <c r="U69" s="9" t="s">
        <v>33</v>
      </c>
    </row>
    <row r="70" spans="1:21" ht="15.6" x14ac:dyDescent="0.3">
      <c r="A70" s="9" t="s">
        <v>174</v>
      </c>
      <c r="B70" s="9" t="s">
        <v>185</v>
      </c>
      <c r="C70" s="9" t="s">
        <v>22</v>
      </c>
      <c r="D70" s="10">
        <v>45911</v>
      </c>
      <c r="E70" s="9" t="s">
        <v>23</v>
      </c>
      <c r="F70" s="9" t="s">
        <v>61</v>
      </c>
      <c r="G70" s="9" t="s">
        <v>62</v>
      </c>
      <c r="H70" s="9" t="s">
        <v>63</v>
      </c>
      <c r="I70" s="9" t="s">
        <v>27</v>
      </c>
      <c r="J70" s="9">
        <v>1</v>
      </c>
      <c r="K70" s="9">
        <v>5</v>
      </c>
      <c r="L70" s="13">
        <f t="shared" si="10"/>
        <v>0.05</v>
      </c>
      <c r="M70" s="9" t="s">
        <v>28</v>
      </c>
      <c r="N70" s="9" t="s">
        <v>29</v>
      </c>
      <c r="O70" s="9" t="s">
        <v>179</v>
      </c>
      <c r="P70" s="9" t="s">
        <v>94</v>
      </c>
      <c r="Q70" s="9"/>
      <c r="R70" s="9"/>
      <c r="S70" s="9"/>
      <c r="T70" s="9" t="s">
        <v>32</v>
      </c>
      <c r="U70" s="9" t="s">
        <v>33</v>
      </c>
    </row>
    <row r="71" spans="1:21" ht="15.6" x14ac:dyDescent="0.3">
      <c r="A71" s="9" t="s">
        <v>174</v>
      </c>
      <c r="B71" s="9" t="s">
        <v>186</v>
      </c>
      <c r="C71" s="9" t="s">
        <v>22</v>
      </c>
      <c r="D71" s="10">
        <v>45911</v>
      </c>
      <c r="E71" s="9" t="s">
        <v>23</v>
      </c>
      <c r="F71" s="11" t="s">
        <v>47</v>
      </c>
      <c r="G71" s="16" t="s">
        <v>48</v>
      </c>
      <c r="H71" s="16" t="s">
        <v>49</v>
      </c>
      <c r="I71" s="9" t="s">
        <v>27</v>
      </c>
      <c r="J71" s="9">
        <v>1</v>
      </c>
      <c r="K71" s="9">
        <v>80</v>
      </c>
      <c r="L71" s="13">
        <f t="shared" si="10"/>
        <v>0.8</v>
      </c>
      <c r="M71" s="9" t="s">
        <v>28</v>
      </c>
      <c r="N71" s="9" t="s">
        <v>29</v>
      </c>
      <c r="O71" s="9" t="s">
        <v>179</v>
      </c>
      <c r="P71" s="9" t="s">
        <v>94</v>
      </c>
      <c r="Q71" s="9"/>
      <c r="R71" s="9"/>
      <c r="S71" s="9"/>
      <c r="T71" s="9" t="s">
        <v>32</v>
      </c>
      <c r="U71" s="9" t="s">
        <v>33</v>
      </c>
    </row>
    <row r="72" spans="1:21" ht="15.6" x14ac:dyDescent="0.3">
      <c r="A72" s="9" t="s">
        <v>174</v>
      </c>
      <c r="B72" s="9" t="s">
        <v>187</v>
      </c>
      <c r="C72" s="9" t="s">
        <v>22</v>
      </c>
      <c r="D72" s="10">
        <v>45911</v>
      </c>
      <c r="E72" s="9" t="s">
        <v>23</v>
      </c>
      <c r="F72" s="9" t="s">
        <v>42</v>
      </c>
      <c r="G72" s="17" t="s">
        <v>167</v>
      </c>
      <c r="H72" s="9" t="s">
        <v>168</v>
      </c>
      <c r="I72" s="9" t="s">
        <v>27</v>
      </c>
      <c r="J72" s="9">
        <v>1</v>
      </c>
      <c r="K72" s="9">
        <v>5</v>
      </c>
      <c r="L72" s="13">
        <f t="shared" si="10"/>
        <v>0.05</v>
      </c>
      <c r="M72" s="9" t="s">
        <v>28</v>
      </c>
      <c r="N72" s="9" t="s">
        <v>29</v>
      </c>
      <c r="O72" s="9" t="s">
        <v>179</v>
      </c>
      <c r="P72" s="9" t="s">
        <v>94</v>
      </c>
      <c r="Q72" s="9"/>
      <c r="R72" s="9"/>
      <c r="S72" s="9"/>
      <c r="T72" s="9" t="s">
        <v>32</v>
      </c>
      <c r="U72" s="9" t="s">
        <v>33</v>
      </c>
    </row>
    <row r="73" spans="1:21" ht="15.6" x14ac:dyDescent="0.3">
      <c r="A73" s="9" t="s">
        <v>188</v>
      </c>
      <c r="B73" s="9" t="s">
        <v>189</v>
      </c>
      <c r="C73" s="9" t="s">
        <v>22</v>
      </c>
      <c r="D73" s="10">
        <v>45911</v>
      </c>
      <c r="E73" s="9" t="s">
        <v>23</v>
      </c>
      <c r="F73" s="9" t="s">
        <v>124</v>
      </c>
      <c r="G73" s="9" t="s">
        <v>125</v>
      </c>
      <c r="H73" s="9" t="s">
        <v>126</v>
      </c>
      <c r="I73" s="9" t="s">
        <v>27</v>
      </c>
      <c r="J73" s="9">
        <v>1</v>
      </c>
      <c r="K73" s="9">
        <v>40</v>
      </c>
      <c r="L73" s="13">
        <f t="shared" si="10"/>
        <v>0.4</v>
      </c>
      <c r="M73" s="9" t="s">
        <v>28</v>
      </c>
      <c r="N73" s="9" t="s">
        <v>29</v>
      </c>
      <c r="O73" s="9" t="s">
        <v>190</v>
      </c>
      <c r="P73" s="9" t="s">
        <v>191</v>
      </c>
      <c r="Q73" s="9"/>
      <c r="R73" s="9"/>
      <c r="S73" s="9"/>
      <c r="T73" s="9" t="s">
        <v>32</v>
      </c>
      <c r="U73" s="9" t="s">
        <v>33</v>
      </c>
    </row>
    <row r="74" spans="1:21" ht="15.6" x14ac:dyDescent="0.3">
      <c r="A74" s="9" t="s">
        <v>188</v>
      </c>
      <c r="B74" s="9" t="s">
        <v>192</v>
      </c>
      <c r="C74" s="9" t="s">
        <v>22</v>
      </c>
      <c r="D74" s="10">
        <v>45911</v>
      </c>
      <c r="E74" s="9" t="s">
        <v>23</v>
      </c>
      <c r="F74" s="9" t="s">
        <v>124</v>
      </c>
      <c r="G74" s="9" t="s">
        <v>130</v>
      </c>
      <c r="H74" s="9" t="s">
        <v>131</v>
      </c>
      <c r="I74" s="9" t="s">
        <v>27</v>
      </c>
      <c r="J74" s="9">
        <v>1</v>
      </c>
      <c r="K74" s="9">
        <v>30</v>
      </c>
      <c r="L74" s="13">
        <f t="shared" si="10"/>
        <v>0.3</v>
      </c>
      <c r="M74" s="9" t="s">
        <v>28</v>
      </c>
      <c r="N74" s="9" t="s">
        <v>29</v>
      </c>
      <c r="O74" s="9" t="s">
        <v>190</v>
      </c>
      <c r="P74" s="9" t="s">
        <v>191</v>
      </c>
      <c r="Q74" s="9"/>
      <c r="R74" s="9"/>
      <c r="S74" s="9"/>
      <c r="T74" s="9" t="s">
        <v>32</v>
      </c>
      <c r="U74" s="9" t="s">
        <v>33</v>
      </c>
    </row>
    <row r="75" spans="1:21" ht="15.6" x14ac:dyDescent="0.3">
      <c r="A75" s="9" t="s">
        <v>188</v>
      </c>
      <c r="B75" s="9" t="s">
        <v>193</v>
      </c>
      <c r="C75" s="9" t="s">
        <v>22</v>
      </c>
      <c r="D75" s="10">
        <v>45911</v>
      </c>
      <c r="E75" s="9" t="s">
        <v>23</v>
      </c>
      <c r="F75" s="9" t="s">
        <v>57</v>
      </c>
      <c r="G75" s="9" t="s">
        <v>58</v>
      </c>
      <c r="H75" s="9" t="s">
        <v>59</v>
      </c>
      <c r="I75" s="9" t="s">
        <v>27</v>
      </c>
      <c r="J75" s="9">
        <v>1</v>
      </c>
      <c r="K75" s="9">
        <v>50</v>
      </c>
      <c r="L75" s="13">
        <f t="shared" si="10"/>
        <v>0.5</v>
      </c>
      <c r="M75" s="9" t="s">
        <v>28</v>
      </c>
      <c r="N75" s="9" t="s">
        <v>29</v>
      </c>
      <c r="O75" s="9" t="s">
        <v>190</v>
      </c>
      <c r="P75" s="9" t="s">
        <v>191</v>
      </c>
      <c r="Q75" s="9"/>
      <c r="R75" s="9"/>
      <c r="S75" s="9"/>
      <c r="T75" s="9" t="s">
        <v>32</v>
      </c>
      <c r="U75" s="9" t="s">
        <v>33</v>
      </c>
    </row>
    <row r="76" spans="1:21" ht="15.6" x14ac:dyDescent="0.3">
      <c r="A76" s="9" t="s">
        <v>188</v>
      </c>
      <c r="B76" s="9" t="s">
        <v>194</v>
      </c>
      <c r="C76" s="9" t="s">
        <v>22</v>
      </c>
      <c r="D76" s="10">
        <v>45911</v>
      </c>
      <c r="E76" s="9" t="s">
        <v>23</v>
      </c>
      <c r="F76" s="9" t="s">
        <v>42</v>
      </c>
      <c r="G76" s="9" t="s">
        <v>171</v>
      </c>
      <c r="H76" s="9" t="s">
        <v>172</v>
      </c>
      <c r="I76" s="9" t="s">
        <v>27</v>
      </c>
      <c r="J76" s="9">
        <v>1</v>
      </c>
      <c r="K76" s="9">
        <v>10</v>
      </c>
      <c r="L76" s="13">
        <f t="shared" si="10"/>
        <v>0.1</v>
      </c>
      <c r="M76" s="9" t="s">
        <v>28</v>
      </c>
      <c r="N76" s="9" t="s">
        <v>29</v>
      </c>
      <c r="O76" s="9" t="s">
        <v>190</v>
      </c>
      <c r="P76" s="9" t="s">
        <v>191</v>
      </c>
      <c r="Q76" s="9"/>
      <c r="R76" s="9"/>
      <c r="S76" s="9"/>
      <c r="T76" s="9" t="s">
        <v>32</v>
      </c>
      <c r="U76" s="9" t="s">
        <v>33</v>
      </c>
    </row>
    <row r="77" spans="1:21" ht="15.6" x14ac:dyDescent="0.3">
      <c r="A77" s="9" t="s">
        <v>188</v>
      </c>
      <c r="B77" s="9" t="s">
        <v>195</v>
      </c>
      <c r="C77" s="9" t="s">
        <v>22</v>
      </c>
      <c r="D77" s="10">
        <v>45911</v>
      </c>
      <c r="E77" s="9" t="s">
        <v>23</v>
      </c>
      <c r="F77" s="11" t="s">
        <v>47</v>
      </c>
      <c r="G77" s="16" t="s">
        <v>48</v>
      </c>
      <c r="H77" s="16" t="s">
        <v>49</v>
      </c>
      <c r="I77" s="9" t="s">
        <v>27</v>
      </c>
      <c r="J77" s="9">
        <v>1</v>
      </c>
      <c r="K77" s="9">
        <v>20</v>
      </c>
      <c r="L77" s="13">
        <f t="shared" si="10"/>
        <v>0.2</v>
      </c>
      <c r="M77" s="9" t="s">
        <v>28</v>
      </c>
      <c r="N77" s="9" t="s">
        <v>29</v>
      </c>
      <c r="O77" s="9" t="s">
        <v>190</v>
      </c>
      <c r="P77" s="9" t="s">
        <v>191</v>
      </c>
      <c r="Q77" s="9"/>
      <c r="R77" s="9"/>
      <c r="S77" s="9"/>
      <c r="T77" s="9" t="s">
        <v>32</v>
      </c>
      <c r="U77" s="9" t="s">
        <v>33</v>
      </c>
    </row>
    <row r="78" spans="1:21" ht="15.6" x14ac:dyDescent="0.3">
      <c r="A78" s="9" t="s">
        <v>188</v>
      </c>
      <c r="B78" s="9" t="s">
        <v>196</v>
      </c>
      <c r="C78" s="9" t="s">
        <v>22</v>
      </c>
      <c r="D78" s="10">
        <v>45911</v>
      </c>
      <c r="E78" s="9" t="s">
        <v>23</v>
      </c>
      <c r="F78" s="11" t="s">
        <v>96</v>
      </c>
      <c r="G78" s="14" t="s">
        <v>97</v>
      </c>
      <c r="H78" s="9" t="s">
        <v>98</v>
      </c>
      <c r="I78" s="9" t="s">
        <v>27</v>
      </c>
      <c r="J78" s="9">
        <v>1</v>
      </c>
      <c r="K78" s="9">
        <v>5</v>
      </c>
      <c r="L78" s="13">
        <f t="shared" si="10"/>
        <v>0.05</v>
      </c>
      <c r="M78" s="9" t="s">
        <v>28</v>
      </c>
      <c r="N78" s="9" t="s">
        <v>29</v>
      </c>
      <c r="O78" s="9" t="s">
        <v>190</v>
      </c>
      <c r="P78" s="9" t="s">
        <v>191</v>
      </c>
      <c r="Q78" s="9"/>
      <c r="R78" s="9"/>
      <c r="S78" s="9"/>
      <c r="T78" s="9" t="s">
        <v>32</v>
      </c>
      <c r="U78" s="9" t="s">
        <v>33</v>
      </c>
    </row>
    <row r="79" spans="1:21" ht="15.6" x14ac:dyDescent="0.3">
      <c r="A79" s="9" t="s">
        <v>197</v>
      </c>
      <c r="B79" s="9" t="s">
        <v>198</v>
      </c>
      <c r="C79" s="9" t="s">
        <v>22</v>
      </c>
      <c r="D79" s="10">
        <v>45911</v>
      </c>
      <c r="E79" s="9" t="s">
        <v>23</v>
      </c>
      <c r="F79" s="9" t="s">
        <v>124</v>
      </c>
      <c r="G79" s="9" t="s">
        <v>130</v>
      </c>
      <c r="H79" s="9" t="s">
        <v>131</v>
      </c>
      <c r="I79" s="9" t="s">
        <v>27</v>
      </c>
      <c r="J79" s="9">
        <v>1</v>
      </c>
      <c r="K79" s="9">
        <v>70</v>
      </c>
      <c r="L79" s="13">
        <f t="shared" si="10"/>
        <v>0.7</v>
      </c>
      <c r="M79" s="9" t="s">
        <v>28</v>
      </c>
      <c r="N79" s="9" t="s">
        <v>29</v>
      </c>
      <c r="O79" s="9" t="s">
        <v>199</v>
      </c>
      <c r="P79" s="9" t="s">
        <v>200</v>
      </c>
      <c r="Q79" s="9"/>
      <c r="R79" s="9"/>
      <c r="S79" s="9"/>
      <c r="T79" s="9" t="s">
        <v>32</v>
      </c>
      <c r="U79" s="9" t="s">
        <v>33</v>
      </c>
    </row>
    <row r="80" spans="1:21" ht="15.6" x14ac:dyDescent="0.3">
      <c r="A80" s="9" t="s">
        <v>197</v>
      </c>
      <c r="B80" s="9" t="s">
        <v>201</v>
      </c>
      <c r="C80" s="9" t="s">
        <v>22</v>
      </c>
      <c r="D80" s="10">
        <v>45911</v>
      </c>
      <c r="E80" s="9" t="s">
        <v>23</v>
      </c>
      <c r="F80" s="9" t="s">
        <v>42</v>
      </c>
      <c r="G80" s="17" t="s">
        <v>167</v>
      </c>
      <c r="H80" s="9" t="s">
        <v>168</v>
      </c>
      <c r="I80" s="9" t="s">
        <v>27</v>
      </c>
      <c r="J80" s="9">
        <v>1</v>
      </c>
      <c r="K80" s="9">
        <v>20</v>
      </c>
      <c r="L80" s="13">
        <f t="shared" si="10"/>
        <v>0.2</v>
      </c>
      <c r="M80" s="9" t="s">
        <v>28</v>
      </c>
      <c r="N80" s="9" t="s">
        <v>29</v>
      </c>
      <c r="O80" s="9" t="s">
        <v>199</v>
      </c>
      <c r="P80" s="9" t="s">
        <v>200</v>
      </c>
      <c r="Q80" s="9"/>
      <c r="R80" s="9"/>
      <c r="S80" s="9"/>
      <c r="T80" s="9" t="s">
        <v>32</v>
      </c>
      <c r="U80" s="9" t="s">
        <v>33</v>
      </c>
    </row>
    <row r="81" spans="1:21" ht="15.6" x14ac:dyDescent="0.3">
      <c r="A81" s="9" t="s">
        <v>197</v>
      </c>
      <c r="B81" s="9" t="s">
        <v>202</v>
      </c>
      <c r="C81" s="9" t="s">
        <v>22</v>
      </c>
      <c r="D81" s="10">
        <v>45911</v>
      </c>
      <c r="E81" s="9" t="s">
        <v>23</v>
      </c>
      <c r="F81" s="9" t="s">
        <v>42</v>
      </c>
      <c r="G81" s="9" t="s">
        <v>203</v>
      </c>
      <c r="H81" s="9" t="s">
        <v>204</v>
      </c>
      <c r="I81" s="9" t="s">
        <v>27</v>
      </c>
      <c r="J81" s="9">
        <v>1</v>
      </c>
      <c r="K81" s="9">
        <v>5</v>
      </c>
      <c r="L81" s="13">
        <f t="shared" si="10"/>
        <v>0.05</v>
      </c>
      <c r="M81" s="9" t="s">
        <v>28</v>
      </c>
      <c r="N81" s="9" t="s">
        <v>29</v>
      </c>
      <c r="O81" s="9" t="s">
        <v>199</v>
      </c>
      <c r="P81" s="9" t="s">
        <v>200</v>
      </c>
      <c r="Q81" s="9"/>
      <c r="R81" s="9"/>
      <c r="S81" s="9"/>
      <c r="T81" s="9" t="s">
        <v>32</v>
      </c>
      <c r="U81" s="9" t="s">
        <v>33</v>
      </c>
    </row>
    <row r="82" spans="1:21" ht="15.6" x14ac:dyDescent="0.3">
      <c r="A82" s="9" t="s">
        <v>197</v>
      </c>
      <c r="B82" s="9" t="s">
        <v>205</v>
      </c>
      <c r="C82" s="9" t="s">
        <v>22</v>
      </c>
      <c r="D82" s="10">
        <v>45911</v>
      </c>
      <c r="E82" s="9" t="s">
        <v>23</v>
      </c>
      <c r="F82" s="11" t="s">
        <v>47</v>
      </c>
      <c r="G82" s="16" t="s">
        <v>48</v>
      </c>
      <c r="H82" s="16" t="s">
        <v>49</v>
      </c>
      <c r="I82" s="9" t="s">
        <v>27</v>
      </c>
      <c r="J82" s="9">
        <v>1</v>
      </c>
      <c r="K82" s="9">
        <v>70</v>
      </c>
      <c r="L82" s="13">
        <f t="shared" si="10"/>
        <v>0.7</v>
      </c>
      <c r="M82" s="9" t="s">
        <v>28</v>
      </c>
      <c r="N82" s="9" t="s">
        <v>29</v>
      </c>
      <c r="O82" s="9" t="s">
        <v>199</v>
      </c>
      <c r="P82" s="9" t="s">
        <v>200</v>
      </c>
      <c r="Q82" s="9"/>
      <c r="R82" s="9"/>
      <c r="S82" s="9"/>
      <c r="T82" s="9" t="s">
        <v>32</v>
      </c>
      <c r="U82" s="9" t="s">
        <v>33</v>
      </c>
    </row>
    <row r="83" spans="1:21" ht="15.6" x14ac:dyDescent="0.3">
      <c r="A83" s="9" t="s">
        <v>197</v>
      </c>
      <c r="B83" s="9" t="s">
        <v>206</v>
      </c>
      <c r="C83" s="9" t="s">
        <v>22</v>
      </c>
      <c r="D83" s="10">
        <v>45911</v>
      </c>
      <c r="E83" s="9" t="s">
        <v>23</v>
      </c>
      <c r="F83" s="11" t="s">
        <v>96</v>
      </c>
      <c r="G83" s="14" t="s">
        <v>97</v>
      </c>
      <c r="H83" s="9" t="s">
        <v>98</v>
      </c>
      <c r="I83" s="9" t="s">
        <v>27</v>
      </c>
      <c r="J83" s="9">
        <v>1</v>
      </c>
      <c r="K83" s="9">
        <v>5</v>
      </c>
      <c r="L83" s="13">
        <f t="shared" si="10"/>
        <v>0.05</v>
      </c>
      <c r="M83" s="9" t="s">
        <v>28</v>
      </c>
      <c r="N83" s="9" t="s">
        <v>29</v>
      </c>
      <c r="O83" s="9" t="s">
        <v>199</v>
      </c>
      <c r="P83" s="9" t="s">
        <v>200</v>
      </c>
      <c r="Q83" s="9"/>
      <c r="R83" s="9"/>
      <c r="S83" s="9"/>
      <c r="T83" s="9" t="s">
        <v>32</v>
      </c>
      <c r="U83" s="9" t="s">
        <v>33</v>
      </c>
    </row>
    <row r="84" spans="1:21" ht="15.6" x14ac:dyDescent="0.3">
      <c r="A84" s="9" t="s">
        <v>197</v>
      </c>
      <c r="B84" s="9" t="s">
        <v>207</v>
      </c>
      <c r="C84" s="9" t="s">
        <v>22</v>
      </c>
      <c r="D84" s="10">
        <v>45911</v>
      </c>
      <c r="E84" s="9" t="s">
        <v>23</v>
      </c>
      <c r="F84" s="9" t="s">
        <v>57</v>
      </c>
      <c r="G84" s="9" t="s">
        <v>58</v>
      </c>
      <c r="H84" s="9" t="s">
        <v>59</v>
      </c>
      <c r="I84" s="9" t="s">
        <v>27</v>
      </c>
      <c r="J84" s="9">
        <v>1</v>
      </c>
      <c r="K84" s="9">
        <v>40</v>
      </c>
      <c r="L84" s="13">
        <f t="shared" si="10"/>
        <v>0.4</v>
      </c>
      <c r="M84" s="9" t="s">
        <v>28</v>
      </c>
      <c r="N84" s="9" t="s">
        <v>29</v>
      </c>
      <c r="O84" s="9" t="s">
        <v>199</v>
      </c>
      <c r="P84" s="9" t="s">
        <v>200</v>
      </c>
      <c r="Q84" s="9"/>
      <c r="R84" s="9"/>
      <c r="S84" s="9"/>
      <c r="T84" s="9" t="s">
        <v>32</v>
      </c>
      <c r="U84" s="9" t="s">
        <v>33</v>
      </c>
    </row>
    <row r="85" spans="1:21" ht="15.6" x14ac:dyDescent="0.3">
      <c r="A85" s="9" t="s">
        <v>208</v>
      </c>
      <c r="B85" s="9" t="s">
        <v>209</v>
      </c>
      <c r="C85" s="9" t="s">
        <v>22</v>
      </c>
      <c r="D85" s="10">
        <v>45911</v>
      </c>
      <c r="E85" s="9" t="s">
        <v>23</v>
      </c>
      <c r="F85" s="9" t="s">
        <v>124</v>
      </c>
      <c r="G85" s="9" t="s">
        <v>125</v>
      </c>
      <c r="H85" s="9" t="s">
        <v>126</v>
      </c>
      <c r="I85" s="9" t="s">
        <v>27</v>
      </c>
      <c r="J85" s="9">
        <v>1</v>
      </c>
      <c r="K85" s="9">
        <v>95</v>
      </c>
      <c r="L85" s="13">
        <f t="shared" si="10"/>
        <v>0.95</v>
      </c>
      <c r="M85" s="9" t="s">
        <v>28</v>
      </c>
      <c r="N85" s="9" t="s">
        <v>29</v>
      </c>
      <c r="O85" s="9" t="s">
        <v>210</v>
      </c>
      <c r="P85" s="9" t="s">
        <v>107</v>
      </c>
      <c r="Q85" s="9"/>
      <c r="R85" s="9"/>
      <c r="S85" s="9"/>
      <c r="T85" s="9" t="s">
        <v>32</v>
      </c>
      <c r="U85" s="9" t="s">
        <v>33</v>
      </c>
    </row>
    <row r="86" spans="1:21" ht="15.6" x14ac:dyDescent="0.3">
      <c r="A86" s="9" t="s">
        <v>208</v>
      </c>
      <c r="B86" s="9" t="s">
        <v>211</v>
      </c>
      <c r="C86" s="9" t="s">
        <v>22</v>
      </c>
      <c r="D86" s="10">
        <v>45911</v>
      </c>
      <c r="E86" s="9" t="s">
        <v>23</v>
      </c>
      <c r="F86" s="9" t="s">
        <v>124</v>
      </c>
      <c r="G86" s="9" t="s">
        <v>130</v>
      </c>
      <c r="H86" s="9" t="s">
        <v>131</v>
      </c>
      <c r="I86" s="9" t="s">
        <v>27</v>
      </c>
      <c r="J86" s="9">
        <v>1</v>
      </c>
      <c r="K86" s="9">
        <v>5</v>
      </c>
      <c r="L86" s="13">
        <f t="shared" si="10"/>
        <v>0.05</v>
      </c>
      <c r="M86" s="9" t="s">
        <v>28</v>
      </c>
      <c r="N86" s="9" t="s">
        <v>29</v>
      </c>
      <c r="O86" s="9" t="s">
        <v>210</v>
      </c>
      <c r="P86" s="9" t="s">
        <v>107</v>
      </c>
      <c r="Q86" s="9"/>
      <c r="R86" s="9"/>
      <c r="S86" s="9"/>
      <c r="T86" s="9" t="s">
        <v>32</v>
      </c>
      <c r="U86" s="9" t="s">
        <v>33</v>
      </c>
    </row>
    <row r="87" spans="1:21" ht="15.6" x14ac:dyDescent="0.3">
      <c r="A87" s="9" t="s">
        <v>208</v>
      </c>
      <c r="B87" s="9" t="s">
        <v>212</v>
      </c>
      <c r="C87" s="9" t="s">
        <v>22</v>
      </c>
      <c r="D87" s="10">
        <v>45911</v>
      </c>
      <c r="E87" s="9" t="s">
        <v>23</v>
      </c>
      <c r="F87" s="20" t="s">
        <v>36</v>
      </c>
      <c r="G87" s="9" t="s">
        <v>101</v>
      </c>
      <c r="H87" s="9" t="s">
        <v>102</v>
      </c>
      <c r="I87" s="9" t="s">
        <v>27</v>
      </c>
      <c r="J87" s="9">
        <v>1</v>
      </c>
      <c r="K87" s="9">
        <v>5</v>
      </c>
      <c r="L87" s="13">
        <f t="shared" si="10"/>
        <v>0.05</v>
      </c>
      <c r="M87" s="9" t="s">
        <v>28</v>
      </c>
      <c r="N87" s="9" t="s">
        <v>29</v>
      </c>
      <c r="O87" s="9" t="s">
        <v>210</v>
      </c>
      <c r="P87" s="9" t="s">
        <v>107</v>
      </c>
      <c r="Q87" s="9"/>
      <c r="R87" s="9"/>
      <c r="S87" s="9"/>
      <c r="T87" s="9" t="s">
        <v>32</v>
      </c>
      <c r="U87" s="9" t="s">
        <v>33</v>
      </c>
    </row>
    <row r="88" spans="1:21" ht="15.6" x14ac:dyDescent="0.3">
      <c r="A88" s="9" t="s">
        <v>208</v>
      </c>
      <c r="B88" s="9" t="s">
        <v>213</v>
      </c>
      <c r="C88" s="9" t="s">
        <v>22</v>
      </c>
      <c r="D88" s="10">
        <v>45911</v>
      </c>
      <c r="E88" s="9" t="s">
        <v>23</v>
      </c>
      <c r="F88" s="9" t="s">
        <v>57</v>
      </c>
      <c r="G88" s="9" t="s">
        <v>58</v>
      </c>
      <c r="H88" s="9" t="s">
        <v>59</v>
      </c>
      <c r="I88" s="9" t="s">
        <v>27</v>
      </c>
      <c r="J88" s="9">
        <v>1</v>
      </c>
      <c r="K88" s="9">
        <v>90</v>
      </c>
      <c r="L88" s="13">
        <f t="shared" si="10"/>
        <v>0.9</v>
      </c>
      <c r="M88" s="9" t="s">
        <v>28</v>
      </c>
      <c r="N88" s="9" t="s">
        <v>29</v>
      </c>
      <c r="O88" s="9" t="s">
        <v>210</v>
      </c>
      <c r="P88" s="9" t="s">
        <v>107</v>
      </c>
      <c r="Q88" s="9"/>
      <c r="R88" s="9"/>
      <c r="S88" s="9"/>
      <c r="T88" s="9" t="s">
        <v>32</v>
      </c>
      <c r="U88" s="9" t="s">
        <v>33</v>
      </c>
    </row>
    <row r="89" spans="1:21" ht="15.6" x14ac:dyDescent="0.3">
      <c r="A89" s="9" t="s">
        <v>214</v>
      </c>
      <c r="B89" s="9" t="s">
        <v>215</v>
      </c>
      <c r="C89" s="9" t="s">
        <v>22</v>
      </c>
      <c r="D89" s="10">
        <v>45911</v>
      </c>
      <c r="E89" s="9" t="s">
        <v>23</v>
      </c>
      <c r="F89" s="9" t="s">
        <v>124</v>
      </c>
      <c r="G89" s="9" t="s">
        <v>125</v>
      </c>
      <c r="H89" s="9" t="s">
        <v>126</v>
      </c>
      <c r="I89" s="9" t="s">
        <v>27</v>
      </c>
      <c r="J89" s="9">
        <v>1</v>
      </c>
      <c r="K89" s="9">
        <v>95</v>
      </c>
      <c r="L89" s="13">
        <f t="shared" si="10"/>
        <v>0.95</v>
      </c>
      <c r="M89" s="9" t="s">
        <v>28</v>
      </c>
      <c r="N89" s="9" t="s">
        <v>29</v>
      </c>
      <c r="O89" s="9" t="s">
        <v>216</v>
      </c>
      <c r="P89" s="9" t="s">
        <v>217</v>
      </c>
      <c r="Q89" s="9"/>
      <c r="R89" s="9"/>
      <c r="S89" s="9"/>
      <c r="T89" s="9" t="s">
        <v>32</v>
      </c>
      <c r="U89" s="9" t="s">
        <v>33</v>
      </c>
    </row>
    <row r="90" spans="1:21" ht="15.6" x14ac:dyDescent="0.3">
      <c r="A90" s="9" t="s">
        <v>214</v>
      </c>
      <c r="B90" s="9" t="s">
        <v>218</v>
      </c>
      <c r="C90" s="9" t="s">
        <v>22</v>
      </c>
      <c r="D90" s="10">
        <v>45911</v>
      </c>
      <c r="E90" s="9" t="s">
        <v>23</v>
      </c>
      <c r="F90" s="9" t="s">
        <v>124</v>
      </c>
      <c r="G90" s="9" t="s">
        <v>130</v>
      </c>
      <c r="H90" s="9" t="s">
        <v>131</v>
      </c>
      <c r="I90" s="9" t="s">
        <v>27</v>
      </c>
      <c r="J90" s="9">
        <v>1</v>
      </c>
      <c r="K90" s="9">
        <v>5</v>
      </c>
      <c r="L90" s="13">
        <f t="shared" si="10"/>
        <v>0.05</v>
      </c>
      <c r="M90" s="9" t="s">
        <v>28</v>
      </c>
      <c r="N90" s="9" t="s">
        <v>29</v>
      </c>
      <c r="O90" s="9" t="s">
        <v>216</v>
      </c>
      <c r="P90" s="9" t="s">
        <v>217</v>
      </c>
      <c r="Q90" s="9"/>
      <c r="R90" s="9"/>
      <c r="S90" s="9"/>
      <c r="T90" s="9" t="s">
        <v>32</v>
      </c>
      <c r="U90" s="9" t="s">
        <v>33</v>
      </c>
    </row>
    <row r="91" spans="1:21" ht="15.6" x14ac:dyDescent="0.3">
      <c r="A91" s="9" t="s">
        <v>214</v>
      </c>
      <c r="B91" s="9" t="s">
        <v>219</v>
      </c>
      <c r="C91" s="9" t="s">
        <v>22</v>
      </c>
      <c r="D91" s="10">
        <v>45911</v>
      </c>
      <c r="E91" s="9" t="s">
        <v>23</v>
      </c>
      <c r="F91" s="20" t="s">
        <v>36</v>
      </c>
      <c r="G91" s="9" t="s">
        <v>101</v>
      </c>
      <c r="H91" s="9" t="s">
        <v>102</v>
      </c>
      <c r="I91" s="9" t="s">
        <v>27</v>
      </c>
      <c r="J91" s="9">
        <v>1</v>
      </c>
      <c r="K91" s="9">
        <v>5</v>
      </c>
      <c r="L91" s="13">
        <f t="shared" si="10"/>
        <v>0.05</v>
      </c>
      <c r="M91" s="9" t="s">
        <v>28</v>
      </c>
      <c r="N91" s="9" t="s">
        <v>29</v>
      </c>
      <c r="O91" s="9" t="s">
        <v>216</v>
      </c>
      <c r="P91" s="9" t="s">
        <v>217</v>
      </c>
      <c r="Q91" s="9"/>
      <c r="R91" s="9"/>
      <c r="S91" s="9"/>
      <c r="T91" s="9" t="s">
        <v>32</v>
      </c>
      <c r="U91" s="9" t="s">
        <v>33</v>
      </c>
    </row>
    <row r="92" spans="1:21" ht="15.6" x14ac:dyDescent="0.3">
      <c r="A92" s="9" t="s">
        <v>214</v>
      </c>
      <c r="B92" s="9" t="s">
        <v>220</v>
      </c>
      <c r="C92" s="9" t="s">
        <v>22</v>
      </c>
      <c r="D92" s="10">
        <v>45911</v>
      </c>
      <c r="E92" s="9" t="s">
        <v>23</v>
      </c>
      <c r="F92" s="9" t="s">
        <v>57</v>
      </c>
      <c r="G92" s="9" t="s">
        <v>58</v>
      </c>
      <c r="H92" s="9" t="s">
        <v>59</v>
      </c>
      <c r="I92" s="9" t="s">
        <v>27</v>
      </c>
      <c r="J92" s="9">
        <v>1</v>
      </c>
      <c r="K92" s="9">
        <v>90</v>
      </c>
      <c r="L92" s="13">
        <f t="shared" si="10"/>
        <v>0.9</v>
      </c>
      <c r="M92" s="9" t="s">
        <v>28</v>
      </c>
      <c r="N92" s="9" t="s">
        <v>29</v>
      </c>
      <c r="O92" s="9" t="s">
        <v>216</v>
      </c>
      <c r="P92" s="9" t="s">
        <v>217</v>
      </c>
      <c r="Q92" s="9"/>
      <c r="R92" s="9"/>
      <c r="S92" s="9"/>
      <c r="T92" s="9" t="s">
        <v>32</v>
      </c>
      <c r="U92" s="9" t="s">
        <v>33</v>
      </c>
    </row>
    <row r="93" spans="1:21" ht="15.6" x14ac:dyDescent="0.3">
      <c r="A93" s="9" t="s">
        <v>221</v>
      </c>
      <c r="B93" s="9" t="s">
        <v>222</v>
      </c>
      <c r="C93" s="9" t="s">
        <v>22</v>
      </c>
      <c r="D93" s="10">
        <v>45911</v>
      </c>
      <c r="E93" s="9" t="s">
        <v>23</v>
      </c>
      <c r="F93" s="9" t="s">
        <v>42</v>
      </c>
      <c r="G93" s="17" t="s">
        <v>167</v>
      </c>
      <c r="H93" s="9" t="s">
        <v>168</v>
      </c>
      <c r="I93" s="9" t="s">
        <v>27</v>
      </c>
      <c r="J93" s="9">
        <v>1</v>
      </c>
      <c r="K93" s="9">
        <v>33</v>
      </c>
      <c r="L93" s="13">
        <f t="shared" si="10"/>
        <v>0.33</v>
      </c>
      <c r="M93" s="9" t="s">
        <v>28</v>
      </c>
      <c r="N93" s="9" t="s">
        <v>29</v>
      </c>
      <c r="O93" s="9" t="s">
        <v>223</v>
      </c>
      <c r="P93" s="9" t="s">
        <v>224</v>
      </c>
      <c r="Q93" s="9"/>
      <c r="R93" s="9"/>
      <c r="S93" s="9"/>
      <c r="T93" s="9" t="s">
        <v>32</v>
      </c>
      <c r="U93" s="9" t="s">
        <v>33</v>
      </c>
    </row>
    <row r="94" spans="1:21" ht="15.6" x14ac:dyDescent="0.3">
      <c r="A94" s="9" t="s">
        <v>221</v>
      </c>
      <c r="B94" s="9" t="s">
        <v>225</v>
      </c>
      <c r="C94" s="9" t="s">
        <v>22</v>
      </c>
      <c r="D94" s="10">
        <v>45911</v>
      </c>
      <c r="E94" s="9" t="s">
        <v>23</v>
      </c>
      <c r="F94" s="11" t="s">
        <v>47</v>
      </c>
      <c r="G94" s="16" t="s">
        <v>48</v>
      </c>
      <c r="H94" s="16" t="s">
        <v>49</v>
      </c>
      <c r="I94" s="9" t="s">
        <v>27</v>
      </c>
      <c r="J94" s="9">
        <v>1</v>
      </c>
      <c r="K94" s="9">
        <v>60</v>
      </c>
      <c r="L94" s="13">
        <f t="shared" si="10"/>
        <v>0.6</v>
      </c>
      <c r="M94" s="9" t="s">
        <v>28</v>
      </c>
      <c r="N94" s="9" t="s">
        <v>29</v>
      </c>
      <c r="O94" s="9" t="s">
        <v>223</v>
      </c>
      <c r="P94" s="9" t="s">
        <v>224</v>
      </c>
      <c r="Q94" s="9"/>
      <c r="R94" s="9"/>
      <c r="S94" s="9"/>
      <c r="T94" s="9" t="s">
        <v>32</v>
      </c>
      <c r="U94" s="9" t="s">
        <v>33</v>
      </c>
    </row>
    <row r="95" spans="1:21" ht="15.6" x14ac:dyDescent="0.3">
      <c r="A95" s="9" t="s">
        <v>221</v>
      </c>
      <c r="B95" s="9" t="s">
        <v>226</v>
      </c>
      <c r="C95" s="9" t="s">
        <v>22</v>
      </c>
      <c r="D95" s="10">
        <v>45911</v>
      </c>
      <c r="E95" s="9" t="s">
        <v>23</v>
      </c>
      <c r="F95" s="23" t="s">
        <v>227</v>
      </c>
      <c r="G95" s="17" t="s">
        <v>998</v>
      </c>
      <c r="H95" s="9" t="s">
        <v>228</v>
      </c>
      <c r="I95" s="9" t="s">
        <v>27</v>
      </c>
      <c r="J95" s="9">
        <v>1</v>
      </c>
      <c r="K95" s="9">
        <v>5</v>
      </c>
      <c r="L95" s="13">
        <f t="shared" si="10"/>
        <v>0.05</v>
      </c>
      <c r="M95" s="9" t="s">
        <v>28</v>
      </c>
      <c r="N95" s="9" t="s">
        <v>29</v>
      </c>
      <c r="O95" s="9" t="s">
        <v>223</v>
      </c>
      <c r="P95" s="9" t="s">
        <v>224</v>
      </c>
      <c r="Q95" s="9"/>
      <c r="R95" s="9"/>
      <c r="S95" s="9"/>
      <c r="T95" s="9" t="s">
        <v>32</v>
      </c>
      <c r="U95" s="9" t="s">
        <v>33</v>
      </c>
    </row>
    <row r="96" spans="1:21" ht="15.6" x14ac:dyDescent="0.3">
      <c r="A96" s="9" t="s">
        <v>221</v>
      </c>
      <c r="B96" s="9" t="s">
        <v>229</v>
      </c>
      <c r="C96" s="9" t="s">
        <v>22</v>
      </c>
      <c r="D96" s="10">
        <v>45911</v>
      </c>
      <c r="E96" s="9" t="s">
        <v>23</v>
      </c>
      <c r="F96" s="9" t="s">
        <v>42</v>
      </c>
      <c r="G96" s="9" t="s">
        <v>171</v>
      </c>
      <c r="H96" s="9" t="s">
        <v>172</v>
      </c>
      <c r="I96" s="9" t="s">
        <v>27</v>
      </c>
      <c r="J96" s="9">
        <v>1</v>
      </c>
      <c r="K96" s="9">
        <v>33</v>
      </c>
      <c r="L96" s="13">
        <f t="shared" si="10"/>
        <v>0.33</v>
      </c>
      <c r="M96" s="9" t="s">
        <v>28</v>
      </c>
      <c r="N96" s="9" t="s">
        <v>29</v>
      </c>
      <c r="O96" s="9" t="s">
        <v>223</v>
      </c>
      <c r="P96" s="9" t="s">
        <v>224</v>
      </c>
      <c r="Q96" s="9"/>
      <c r="R96" s="9"/>
      <c r="S96" s="9"/>
      <c r="T96" s="9" t="s">
        <v>32</v>
      </c>
      <c r="U96" s="9" t="s">
        <v>33</v>
      </c>
    </row>
    <row r="97" spans="1:21" ht="15.6" x14ac:dyDescent="0.3">
      <c r="A97" s="9" t="s">
        <v>221</v>
      </c>
      <c r="B97" s="9" t="s">
        <v>230</v>
      </c>
      <c r="C97" s="9" t="s">
        <v>22</v>
      </c>
      <c r="D97" s="10">
        <v>45911</v>
      </c>
      <c r="E97" s="9" t="s">
        <v>23</v>
      </c>
      <c r="F97" s="9" t="s">
        <v>42</v>
      </c>
      <c r="G97" s="24" t="s">
        <v>231</v>
      </c>
      <c r="H97" s="9" t="s">
        <v>232</v>
      </c>
      <c r="I97" s="9" t="s">
        <v>27</v>
      </c>
      <c r="J97" s="9">
        <v>1</v>
      </c>
      <c r="K97" s="9">
        <v>20</v>
      </c>
      <c r="L97" s="13">
        <f t="shared" si="10"/>
        <v>0.2</v>
      </c>
      <c r="M97" s="9" t="s">
        <v>28</v>
      </c>
      <c r="N97" s="9" t="s">
        <v>29</v>
      </c>
      <c r="O97" s="9" t="s">
        <v>223</v>
      </c>
      <c r="P97" s="9" t="s">
        <v>224</v>
      </c>
      <c r="Q97" s="9"/>
      <c r="R97" s="9"/>
      <c r="S97" s="9"/>
      <c r="T97" s="9" t="s">
        <v>32</v>
      </c>
      <c r="U97" s="9" t="s">
        <v>33</v>
      </c>
    </row>
    <row r="98" spans="1:21" ht="15.6" x14ac:dyDescent="0.3">
      <c r="A98" s="9" t="s">
        <v>233</v>
      </c>
      <c r="B98" s="9" t="s">
        <v>234</v>
      </c>
      <c r="C98" s="9" t="s">
        <v>22</v>
      </c>
      <c r="D98" s="10">
        <v>45911</v>
      </c>
      <c r="E98" s="9" t="s">
        <v>23</v>
      </c>
      <c r="F98" s="9" t="s">
        <v>42</v>
      </c>
      <c r="G98" s="17" t="s">
        <v>167</v>
      </c>
      <c r="H98" s="9" t="s">
        <v>168</v>
      </c>
      <c r="I98" s="9" t="s">
        <v>27</v>
      </c>
      <c r="J98" s="9">
        <v>1</v>
      </c>
      <c r="K98" s="9">
        <v>60</v>
      </c>
      <c r="L98" s="13">
        <f t="shared" si="10"/>
        <v>0.6</v>
      </c>
      <c r="M98" s="9" t="s">
        <v>28</v>
      </c>
      <c r="N98" s="9" t="s">
        <v>29</v>
      </c>
      <c r="O98" s="9" t="s">
        <v>235</v>
      </c>
      <c r="P98" s="9" t="s">
        <v>236</v>
      </c>
      <c r="Q98" s="9"/>
      <c r="R98" s="9"/>
      <c r="S98" s="9"/>
      <c r="T98" s="9" t="s">
        <v>32</v>
      </c>
      <c r="U98" s="9" t="s">
        <v>33</v>
      </c>
    </row>
    <row r="99" spans="1:21" ht="15.6" x14ac:dyDescent="0.3">
      <c r="A99" s="9" t="s">
        <v>233</v>
      </c>
      <c r="B99" s="9" t="s">
        <v>237</v>
      </c>
      <c r="C99" s="9" t="s">
        <v>22</v>
      </c>
      <c r="D99" s="10">
        <v>45911</v>
      </c>
      <c r="E99" s="9" t="s">
        <v>23</v>
      </c>
      <c r="F99" s="9" t="s">
        <v>42</v>
      </c>
      <c r="G99" s="24" t="s">
        <v>231</v>
      </c>
      <c r="H99" s="9" t="s">
        <v>232</v>
      </c>
      <c r="I99" s="9" t="s">
        <v>27</v>
      </c>
      <c r="J99" s="9">
        <v>1</v>
      </c>
      <c r="K99" s="9">
        <v>40</v>
      </c>
      <c r="L99" s="13">
        <f t="shared" si="10"/>
        <v>0.4</v>
      </c>
      <c r="M99" s="9" t="s">
        <v>28</v>
      </c>
      <c r="N99" s="9" t="s">
        <v>29</v>
      </c>
      <c r="O99" s="9" t="s">
        <v>235</v>
      </c>
      <c r="P99" s="9" t="s">
        <v>236</v>
      </c>
      <c r="Q99" s="9"/>
      <c r="R99" s="9"/>
      <c r="S99" s="9"/>
      <c r="T99" s="9" t="s">
        <v>32</v>
      </c>
      <c r="U99" s="9" t="s">
        <v>33</v>
      </c>
    </row>
    <row r="100" spans="1:21" ht="15.6" x14ac:dyDescent="0.3">
      <c r="A100" s="9" t="s">
        <v>233</v>
      </c>
      <c r="B100" s="9" t="s">
        <v>238</v>
      </c>
      <c r="C100" s="9" t="s">
        <v>22</v>
      </c>
      <c r="D100" s="10">
        <v>45911</v>
      </c>
      <c r="E100" s="9" t="s">
        <v>23</v>
      </c>
      <c r="F100" s="11" t="s">
        <v>47</v>
      </c>
      <c r="G100" s="16" t="s">
        <v>48</v>
      </c>
      <c r="H100" s="16" t="s">
        <v>49</v>
      </c>
      <c r="I100" s="9" t="s">
        <v>27</v>
      </c>
      <c r="J100" s="9">
        <v>1</v>
      </c>
      <c r="K100" s="9">
        <v>80</v>
      </c>
      <c r="L100" s="13">
        <f t="shared" si="10"/>
        <v>0.8</v>
      </c>
      <c r="M100" s="9" t="s">
        <v>28</v>
      </c>
      <c r="N100" s="9" t="s">
        <v>29</v>
      </c>
      <c r="O100" s="9" t="s">
        <v>235</v>
      </c>
      <c r="P100" s="9" t="s">
        <v>236</v>
      </c>
      <c r="Q100" s="9"/>
      <c r="R100" s="9"/>
      <c r="S100" s="9"/>
      <c r="T100" s="9" t="s">
        <v>32</v>
      </c>
      <c r="U100" s="9" t="s">
        <v>33</v>
      </c>
    </row>
    <row r="101" spans="1:21" ht="15.6" x14ac:dyDescent="0.3">
      <c r="A101" s="9" t="s">
        <v>233</v>
      </c>
      <c r="B101" s="9" t="s">
        <v>239</v>
      </c>
      <c r="C101" s="9" t="s">
        <v>22</v>
      </c>
      <c r="D101" s="10">
        <v>45911</v>
      </c>
      <c r="E101" s="9" t="s">
        <v>23</v>
      </c>
      <c r="F101" s="9" t="s">
        <v>57</v>
      </c>
      <c r="G101" s="9" t="s">
        <v>58</v>
      </c>
      <c r="H101" s="9" t="s">
        <v>59</v>
      </c>
      <c r="I101" s="9" t="s">
        <v>27</v>
      </c>
      <c r="J101" s="9">
        <v>1</v>
      </c>
      <c r="K101" s="9">
        <v>90</v>
      </c>
      <c r="L101" s="13">
        <f t="shared" si="10"/>
        <v>0.9</v>
      </c>
      <c r="M101" s="9" t="s">
        <v>28</v>
      </c>
      <c r="N101" s="9" t="s">
        <v>29</v>
      </c>
      <c r="O101" s="9" t="s">
        <v>235</v>
      </c>
      <c r="P101" s="9" t="s">
        <v>236</v>
      </c>
      <c r="Q101" s="9"/>
      <c r="R101" s="9"/>
      <c r="S101" s="9"/>
      <c r="T101" s="9" t="s">
        <v>32</v>
      </c>
      <c r="U101" s="9" t="s">
        <v>33</v>
      </c>
    </row>
    <row r="102" spans="1:21" ht="15.6" x14ac:dyDescent="0.3">
      <c r="A102" s="9" t="s">
        <v>240</v>
      </c>
      <c r="B102" s="9" t="s">
        <v>241</v>
      </c>
      <c r="C102" s="9" t="s">
        <v>22</v>
      </c>
      <c r="D102" s="10">
        <v>45911</v>
      </c>
      <c r="E102" s="9" t="s">
        <v>23</v>
      </c>
      <c r="F102" s="20" t="s">
        <v>36</v>
      </c>
      <c r="G102" s="9" t="s">
        <v>101</v>
      </c>
      <c r="H102" s="9" t="s">
        <v>102</v>
      </c>
      <c r="I102" s="9" t="s">
        <v>27</v>
      </c>
      <c r="J102" s="9">
        <v>1</v>
      </c>
      <c r="K102" s="9">
        <v>5</v>
      </c>
      <c r="L102" s="13">
        <f t="shared" si="10"/>
        <v>0.05</v>
      </c>
      <c r="M102" s="9" t="s">
        <v>28</v>
      </c>
      <c r="N102" s="9" t="s">
        <v>29</v>
      </c>
      <c r="O102" s="9" t="s">
        <v>242</v>
      </c>
      <c r="P102" s="9" t="s">
        <v>243</v>
      </c>
      <c r="Q102" s="9"/>
      <c r="R102" s="9"/>
      <c r="S102" s="9"/>
      <c r="T102" s="9" t="s">
        <v>32</v>
      </c>
      <c r="U102" s="9" t="s">
        <v>33</v>
      </c>
    </row>
    <row r="103" spans="1:21" ht="15.6" x14ac:dyDescent="0.3">
      <c r="A103" s="9" t="s">
        <v>240</v>
      </c>
      <c r="B103" s="9" t="s">
        <v>244</v>
      </c>
      <c r="C103" s="9" t="s">
        <v>22</v>
      </c>
      <c r="D103" s="10">
        <v>45911</v>
      </c>
      <c r="E103" s="9" t="s">
        <v>23</v>
      </c>
      <c r="F103" s="9" t="s">
        <v>42</v>
      </c>
      <c r="G103" s="17" t="s">
        <v>167</v>
      </c>
      <c r="H103" s="9" t="s">
        <v>168</v>
      </c>
      <c r="I103" s="9" t="s">
        <v>27</v>
      </c>
      <c r="J103" s="9">
        <v>1</v>
      </c>
      <c r="K103" s="9">
        <v>70</v>
      </c>
      <c r="L103" s="13">
        <f t="shared" si="10"/>
        <v>0.7</v>
      </c>
      <c r="M103" s="9" t="s">
        <v>28</v>
      </c>
      <c r="N103" s="9" t="s">
        <v>29</v>
      </c>
      <c r="O103" s="9" t="s">
        <v>242</v>
      </c>
      <c r="P103" s="9" t="s">
        <v>243</v>
      </c>
      <c r="Q103" s="9"/>
      <c r="R103" s="9"/>
      <c r="S103" s="9"/>
      <c r="T103" s="9" t="s">
        <v>32</v>
      </c>
      <c r="U103" s="9" t="s">
        <v>33</v>
      </c>
    </row>
    <row r="104" spans="1:21" ht="15.6" x14ac:dyDescent="0.3">
      <c r="A104" s="9" t="s">
        <v>240</v>
      </c>
      <c r="B104" s="9" t="s">
        <v>245</v>
      </c>
      <c r="C104" s="9" t="s">
        <v>22</v>
      </c>
      <c r="D104" s="10">
        <v>45911</v>
      </c>
      <c r="E104" s="9" t="s">
        <v>23</v>
      </c>
      <c r="F104" s="9" t="s">
        <v>42</v>
      </c>
      <c r="G104" s="9" t="s">
        <v>171</v>
      </c>
      <c r="H104" s="9" t="s">
        <v>172</v>
      </c>
      <c r="I104" s="9" t="s">
        <v>27</v>
      </c>
      <c r="J104" s="9">
        <v>1</v>
      </c>
      <c r="K104" s="9">
        <v>30</v>
      </c>
      <c r="L104" s="13">
        <f t="shared" si="10"/>
        <v>0.3</v>
      </c>
      <c r="M104" s="9" t="s">
        <v>28</v>
      </c>
      <c r="N104" s="9" t="s">
        <v>29</v>
      </c>
      <c r="O104" s="9" t="s">
        <v>242</v>
      </c>
      <c r="P104" s="9" t="s">
        <v>243</v>
      </c>
      <c r="Q104" s="9"/>
      <c r="R104" s="9"/>
      <c r="S104" s="9"/>
      <c r="T104" s="9" t="s">
        <v>32</v>
      </c>
      <c r="U104" s="9" t="s">
        <v>33</v>
      </c>
    </row>
    <row r="105" spans="1:21" ht="15.6" x14ac:dyDescent="0.3">
      <c r="A105" s="9" t="s">
        <v>240</v>
      </c>
      <c r="B105" s="9" t="s">
        <v>246</v>
      </c>
      <c r="C105" s="9" t="s">
        <v>22</v>
      </c>
      <c r="D105" s="10">
        <v>45911</v>
      </c>
      <c r="E105" s="9" t="s">
        <v>23</v>
      </c>
      <c r="F105" s="11" t="s">
        <v>47</v>
      </c>
      <c r="G105" s="16" t="s">
        <v>48</v>
      </c>
      <c r="H105" s="16" t="s">
        <v>49</v>
      </c>
      <c r="I105" s="9" t="s">
        <v>27</v>
      </c>
      <c r="J105" s="9">
        <v>1</v>
      </c>
      <c r="K105" s="9">
        <v>70</v>
      </c>
      <c r="L105" s="13">
        <f t="shared" si="10"/>
        <v>0.7</v>
      </c>
      <c r="M105" s="9" t="s">
        <v>28</v>
      </c>
      <c r="N105" s="9" t="s">
        <v>29</v>
      </c>
      <c r="O105" s="9" t="s">
        <v>242</v>
      </c>
      <c r="P105" s="9" t="s">
        <v>243</v>
      </c>
      <c r="Q105" s="9"/>
      <c r="R105" s="9"/>
      <c r="S105" s="9"/>
      <c r="T105" s="9" t="s">
        <v>32</v>
      </c>
      <c r="U105" s="9" t="s">
        <v>33</v>
      </c>
    </row>
    <row r="106" spans="1:21" ht="15.6" x14ac:dyDescent="0.3">
      <c r="A106" s="9" t="s">
        <v>240</v>
      </c>
      <c r="B106" s="9" t="s">
        <v>247</v>
      </c>
      <c r="C106" s="9" t="s">
        <v>22</v>
      </c>
      <c r="D106" s="10">
        <v>45911</v>
      </c>
      <c r="E106" s="9" t="s">
        <v>23</v>
      </c>
      <c r="F106" s="9" t="s">
        <v>57</v>
      </c>
      <c r="G106" s="9" t="s">
        <v>58</v>
      </c>
      <c r="H106" s="9" t="s">
        <v>59</v>
      </c>
      <c r="I106" s="9" t="s">
        <v>27</v>
      </c>
      <c r="J106" s="9">
        <v>1</v>
      </c>
      <c r="K106" s="9">
        <v>90</v>
      </c>
      <c r="L106" s="13">
        <f t="shared" si="10"/>
        <v>0.9</v>
      </c>
      <c r="M106" s="9" t="s">
        <v>28</v>
      </c>
      <c r="N106" s="9" t="s">
        <v>29</v>
      </c>
      <c r="O106" s="9" t="s">
        <v>242</v>
      </c>
      <c r="P106" s="9" t="s">
        <v>243</v>
      </c>
      <c r="Q106" s="9"/>
      <c r="R106" s="9"/>
      <c r="S106" s="9"/>
      <c r="T106" s="9" t="s">
        <v>32</v>
      </c>
      <c r="U106" s="9" t="s">
        <v>33</v>
      </c>
    </row>
    <row r="107" spans="1:21" ht="15.6" x14ac:dyDescent="0.3">
      <c r="A107" s="9" t="s">
        <v>248</v>
      </c>
      <c r="B107" s="9" t="s">
        <v>249</v>
      </c>
      <c r="C107" s="9" t="s">
        <v>22</v>
      </c>
      <c r="D107" s="10">
        <v>45911</v>
      </c>
      <c r="E107" s="9" t="s">
        <v>23</v>
      </c>
      <c r="F107" s="11" t="s">
        <v>24</v>
      </c>
      <c r="G107" s="14" t="s">
        <v>25</v>
      </c>
      <c r="H107" s="9" t="s">
        <v>26</v>
      </c>
      <c r="I107" s="9" t="s">
        <v>27</v>
      </c>
      <c r="J107" s="9">
        <v>1</v>
      </c>
      <c r="K107" s="9">
        <v>5</v>
      </c>
      <c r="L107" s="13">
        <f t="shared" si="10"/>
        <v>0.05</v>
      </c>
      <c r="M107" s="9" t="s">
        <v>28</v>
      </c>
      <c r="N107" s="9" t="s">
        <v>29</v>
      </c>
      <c r="O107" s="9" t="s">
        <v>250</v>
      </c>
      <c r="P107" s="9" t="s">
        <v>251</v>
      </c>
      <c r="Q107" s="9"/>
      <c r="R107" s="9"/>
      <c r="S107" s="9"/>
      <c r="T107" s="9" t="s">
        <v>32</v>
      </c>
      <c r="U107" s="9" t="s">
        <v>33</v>
      </c>
    </row>
    <row r="108" spans="1:21" ht="15.6" x14ac:dyDescent="0.3">
      <c r="A108" s="9" t="s">
        <v>248</v>
      </c>
      <c r="B108" s="9" t="s">
        <v>252</v>
      </c>
      <c r="C108" s="9" t="s">
        <v>22</v>
      </c>
      <c r="D108" s="10">
        <v>45911</v>
      </c>
      <c r="E108" s="9" t="s">
        <v>23</v>
      </c>
      <c r="F108" s="9" t="s">
        <v>42</v>
      </c>
      <c r="G108" s="17" t="s">
        <v>167</v>
      </c>
      <c r="H108" s="9" t="s">
        <v>168</v>
      </c>
      <c r="I108" s="9" t="s">
        <v>27</v>
      </c>
      <c r="J108" s="9">
        <v>1</v>
      </c>
      <c r="K108" s="9">
        <v>70</v>
      </c>
      <c r="L108" s="13">
        <f t="shared" si="10"/>
        <v>0.7</v>
      </c>
      <c r="M108" s="9" t="s">
        <v>28</v>
      </c>
      <c r="N108" s="9" t="s">
        <v>29</v>
      </c>
      <c r="O108" s="9" t="s">
        <v>250</v>
      </c>
      <c r="P108" s="9" t="s">
        <v>251</v>
      </c>
      <c r="Q108" s="9"/>
      <c r="R108" s="9"/>
      <c r="S108" s="9"/>
      <c r="T108" s="9" t="s">
        <v>32</v>
      </c>
      <c r="U108" s="9" t="s">
        <v>33</v>
      </c>
    </row>
    <row r="109" spans="1:21" ht="15.6" x14ac:dyDescent="0.3">
      <c r="A109" s="9" t="s">
        <v>248</v>
      </c>
      <c r="B109" s="9" t="s">
        <v>253</v>
      </c>
      <c r="C109" s="9" t="s">
        <v>22</v>
      </c>
      <c r="D109" s="10">
        <v>45911</v>
      </c>
      <c r="E109" s="9" t="s">
        <v>23</v>
      </c>
      <c r="F109" s="11" t="s">
        <v>47</v>
      </c>
      <c r="G109" s="16" t="s">
        <v>48</v>
      </c>
      <c r="H109" s="16" t="s">
        <v>49</v>
      </c>
      <c r="I109" s="9" t="s">
        <v>27</v>
      </c>
      <c r="J109" s="9">
        <v>1</v>
      </c>
      <c r="K109" s="9">
        <v>80</v>
      </c>
      <c r="L109" s="13">
        <f t="shared" si="10"/>
        <v>0.8</v>
      </c>
      <c r="M109" s="9" t="s">
        <v>28</v>
      </c>
      <c r="N109" s="9" t="s">
        <v>29</v>
      </c>
      <c r="O109" s="9" t="s">
        <v>250</v>
      </c>
      <c r="P109" s="9" t="s">
        <v>251</v>
      </c>
      <c r="Q109" s="9"/>
      <c r="R109" s="9"/>
      <c r="S109" s="9"/>
      <c r="T109" s="9" t="s">
        <v>32</v>
      </c>
      <c r="U109" s="9" t="s">
        <v>33</v>
      </c>
    </row>
    <row r="110" spans="1:21" ht="15.6" x14ac:dyDescent="0.3">
      <c r="A110" s="9" t="s">
        <v>248</v>
      </c>
      <c r="B110" s="9" t="s">
        <v>254</v>
      </c>
      <c r="C110" s="9" t="s">
        <v>22</v>
      </c>
      <c r="D110" s="10">
        <v>45911</v>
      </c>
      <c r="E110" s="9" t="s">
        <v>23</v>
      </c>
      <c r="F110" s="9" t="s">
        <v>42</v>
      </c>
      <c r="G110" s="24" t="s">
        <v>231</v>
      </c>
      <c r="H110" s="9" t="s">
        <v>232</v>
      </c>
      <c r="I110" s="9" t="s">
        <v>27</v>
      </c>
      <c r="J110" s="9">
        <v>1</v>
      </c>
      <c r="K110" s="9">
        <v>10</v>
      </c>
      <c r="L110" s="13">
        <f t="shared" si="10"/>
        <v>0.1</v>
      </c>
      <c r="M110" s="9" t="s">
        <v>28</v>
      </c>
      <c r="N110" s="9" t="s">
        <v>29</v>
      </c>
      <c r="O110" s="9" t="s">
        <v>250</v>
      </c>
      <c r="P110" s="9" t="s">
        <v>251</v>
      </c>
      <c r="Q110" s="9"/>
      <c r="R110" s="9"/>
      <c r="S110" s="9"/>
      <c r="T110" s="9" t="s">
        <v>32</v>
      </c>
      <c r="U110" s="9" t="s">
        <v>33</v>
      </c>
    </row>
    <row r="111" spans="1:21" ht="15.6" x14ac:dyDescent="0.3">
      <c r="A111" s="9" t="s">
        <v>255</v>
      </c>
      <c r="B111" s="9" t="s">
        <v>256</v>
      </c>
      <c r="C111" s="9" t="s">
        <v>22</v>
      </c>
      <c r="D111" s="10">
        <v>45911</v>
      </c>
      <c r="E111" s="9" t="s">
        <v>23</v>
      </c>
      <c r="F111" s="9" t="s">
        <v>42</v>
      </c>
      <c r="G111" s="9" t="s">
        <v>171</v>
      </c>
      <c r="H111" s="9" t="s">
        <v>172</v>
      </c>
      <c r="I111" s="9" t="s">
        <v>27</v>
      </c>
      <c r="J111" s="9">
        <v>1</v>
      </c>
      <c r="K111" s="9">
        <v>20</v>
      </c>
      <c r="L111" s="13">
        <f t="shared" si="10"/>
        <v>0.2</v>
      </c>
      <c r="M111" s="9" t="s">
        <v>28</v>
      </c>
      <c r="N111" s="9" t="s">
        <v>29</v>
      </c>
      <c r="O111" s="9" t="s">
        <v>257</v>
      </c>
      <c r="P111" s="9" t="s">
        <v>258</v>
      </c>
      <c r="Q111" s="9"/>
      <c r="R111" s="9"/>
      <c r="S111" s="9"/>
      <c r="T111" s="9" t="s">
        <v>32</v>
      </c>
      <c r="U111" s="9" t="s">
        <v>33</v>
      </c>
    </row>
    <row r="112" spans="1:21" ht="15.6" x14ac:dyDescent="0.3">
      <c r="A112" s="9" t="s">
        <v>255</v>
      </c>
      <c r="B112" s="9" t="s">
        <v>259</v>
      </c>
      <c r="C112" s="9" t="s">
        <v>22</v>
      </c>
      <c r="D112" s="10">
        <v>45911</v>
      </c>
      <c r="E112" s="9" t="s">
        <v>23</v>
      </c>
      <c r="F112" s="11" t="s">
        <v>47</v>
      </c>
      <c r="G112" s="16" t="s">
        <v>48</v>
      </c>
      <c r="H112" s="16" t="s">
        <v>49</v>
      </c>
      <c r="I112" s="9" t="s">
        <v>27</v>
      </c>
      <c r="J112" s="9">
        <v>1</v>
      </c>
      <c r="K112" s="9">
        <v>80</v>
      </c>
      <c r="L112" s="13">
        <f t="shared" si="10"/>
        <v>0.8</v>
      </c>
      <c r="M112" s="9" t="s">
        <v>28</v>
      </c>
      <c r="N112" s="9" t="s">
        <v>29</v>
      </c>
      <c r="O112" s="9" t="s">
        <v>257</v>
      </c>
      <c r="P112" s="9" t="s">
        <v>258</v>
      </c>
      <c r="Q112" s="9"/>
      <c r="R112" s="9"/>
      <c r="S112" s="9"/>
      <c r="T112" s="9" t="s">
        <v>32</v>
      </c>
      <c r="U112" s="9" t="s">
        <v>33</v>
      </c>
    </row>
    <row r="113" spans="1:21" ht="15.6" x14ac:dyDescent="0.3">
      <c r="A113" s="9" t="s">
        <v>255</v>
      </c>
      <c r="B113" s="9" t="s">
        <v>260</v>
      </c>
      <c r="C113" s="9" t="s">
        <v>22</v>
      </c>
      <c r="D113" s="10">
        <v>45911</v>
      </c>
      <c r="E113" s="9" t="s">
        <v>23</v>
      </c>
      <c r="F113" s="9" t="s">
        <v>42</v>
      </c>
      <c r="G113" s="9" t="s">
        <v>261</v>
      </c>
      <c r="H113" s="9" t="s">
        <v>262</v>
      </c>
      <c r="I113" s="9" t="s">
        <v>27</v>
      </c>
      <c r="J113" s="9">
        <v>1</v>
      </c>
      <c r="K113" s="9">
        <v>80</v>
      </c>
      <c r="L113" s="13">
        <f t="shared" si="10"/>
        <v>0.8</v>
      </c>
      <c r="M113" s="9" t="s">
        <v>28</v>
      </c>
      <c r="N113" s="9" t="s">
        <v>29</v>
      </c>
      <c r="O113" s="9" t="s">
        <v>257</v>
      </c>
      <c r="P113" s="9" t="s">
        <v>258</v>
      </c>
      <c r="Q113" s="9"/>
      <c r="R113" s="9"/>
      <c r="S113" s="9"/>
      <c r="T113" s="9" t="s">
        <v>32</v>
      </c>
      <c r="U113" s="9" t="s">
        <v>33</v>
      </c>
    </row>
    <row r="114" spans="1:21" ht="15.6" x14ac:dyDescent="0.3">
      <c r="A114" s="9" t="s">
        <v>263</v>
      </c>
      <c r="B114" s="9" t="s">
        <v>264</v>
      </c>
      <c r="C114" s="9" t="s">
        <v>22</v>
      </c>
      <c r="D114" s="10">
        <v>45911</v>
      </c>
      <c r="E114" s="9" t="s">
        <v>23</v>
      </c>
      <c r="F114" s="14" t="s">
        <v>124</v>
      </c>
      <c r="G114" s="14" t="s">
        <v>999</v>
      </c>
      <c r="H114" s="9" t="s">
        <v>265</v>
      </c>
      <c r="I114" s="9" t="s">
        <v>27</v>
      </c>
      <c r="J114" s="9">
        <v>1</v>
      </c>
      <c r="K114" s="9">
        <v>5</v>
      </c>
      <c r="L114" s="13">
        <f t="shared" si="10"/>
        <v>0.05</v>
      </c>
      <c r="M114" s="9" t="s">
        <v>28</v>
      </c>
      <c r="N114" s="9" t="s">
        <v>29</v>
      </c>
      <c r="O114" s="9" t="s">
        <v>266</v>
      </c>
      <c r="P114" s="9" t="s">
        <v>267</v>
      </c>
      <c r="Q114" s="9"/>
      <c r="R114" s="9"/>
      <c r="S114" s="9"/>
      <c r="T114" s="9" t="s">
        <v>32</v>
      </c>
      <c r="U114" s="9" t="s">
        <v>33</v>
      </c>
    </row>
    <row r="115" spans="1:21" ht="15.6" x14ac:dyDescent="0.3">
      <c r="A115" s="9" t="s">
        <v>263</v>
      </c>
      <c r="B115" s="9" t="s">
        <v>268</v>
      </c>
      <c r="C115" s="9" t="s">
        <v>22</v>
      </c>
      <c r="D115" s="10">
        <v>45911</v>
      </c>
      <c r="E115" s="9" t="s">
        <v>23</v>
      </c>
      <c r="F115" s="9" t="s">
        <v>42</v>
      </c>
      <c r="G115" s="9" t="s">
        <v>171</v>
      </c>
      <c r="H115" s="9" t="s">
        <v>172</v>
      </c>
      <c r="I115" s="9" t="s">
        <v>27</v>
      </c>
      <c r="J115" s="9">
        <v>1</v>
      </c>
      <c r="K115" s="9">
        <v>10</v>
      </c>
      <c r="L115" s="13">
        <f t="shared" si="10"/>
        <v>0.1</v>
      </c>
      <c r="M115" s="9" t="s">
        <v>28</v>
      </c>
      <c r="N115" s="9" t="s">
        <v>29</v>
      </c>
      <c r="O115" s="9" t="s">
        <v>266</v>
      </c>
      <c r="P115" s="9" t="s">
        <v>267</v>
      </c>
      <c r="Q115" s="9"/>
      <c r="R115" s="9"/>
      <c r="S115" s="9"/>
      <c r="T115" s="9" t="s">
        <v>32</v>
      </c>
      <c r="U115" s="9" t="s">
        <v>33</v>
      </c>
    </row>
    <row r="116" spans="1:21" ht="15.6" x14ac:dyDescent="0.3">
      <c r="A116" s="9" t="s">
        <v>263</v>
      </c>
      <c r="B116" s="9" t="s">
        <v>269</v>
      </c>
      <c r="C116" s="9" t="s">
        <v>22</v>
      </c>
      <c r="D116" s="10">
        <v>45911</v>
      </c>
      <c r="E116" s="9" t="s">
        <v>23</v>
      </c>
      <c r="F116" s="9" t="s">
        <v>42</v>
      </c>
      <c r="G116" s="14" t="s">
        <v>167</v>
      </c>
      <c r="H116" s="9" t="s">
        <v>168</v>
      </c>
      <c r="I116" s="9" t="s">
        <v>27</v>
      </c>
      <c r="J116" s="9">
        <v>1</v>
      </c>
      <c r="K116" s="9">
        <v>90</v>
      </c>
      <c r="L116" s="13">
        <f t="shared" si="10"/>
        <v>0.9</v>
      </c>
      <c r="M116" s="9" t="s">
        <v>28</v>
      </c>
      <c r="N116" s="9" t="s">
        <v>29</v>
      </c>
      <c r="O116" s="9" t="s">
        <v>266</v>
      </c>
      <c r="P116" s="9" t="s">
        <v>267</v>
      </c>
      <c r="Q116" s="9"/>
      <c r="R116" s="9"/>
      <c r="S116" s="9"/>
      <c r="T116" s="9" t="s">
        <v>32</v>
      </c>
      <c r="U116" s="9" t="s">
        <v>33</v>
      </c>
    </row>
    <row r="117" spans="1:21" ht="15.6" x14ac:dyDescent="0.3">
      <c r="A117" s="9" t="s">
        <v>263</v>
      </c>
      <c r="B117" s="9" t="s">
        <v>270</v>
      </c>
      <c r="C117" s="9" t="s">
        <v>22</v>
      </c>
      <c r="D117" s="10">
        <v>45911</v>
      </c>
      <c r="E117" s="9" t="s">
        <v>23</v>
      </c>
      <c r="F117" s="14" t="s">
        <v>271</v>
      </c>
      <c r="G117" s="9" t="s">
        <v>272</v>
      </c>
      <c r="H117" s="9" t="s">
        <v>273</v>
      </c>
      <c r="I117" s="9" t="s">
        <v>27</v>
      </c>
      <c r="J117" s="9">
        <v>1</v>
      </c>
      <c r="K117" s="9">
        <v>5</v>
      </c>
      <c r="L117" s="13">
        <f t="shared" si="10"/>
        <v>0.05</v>
      </c>
      <c r="M117" s="9" t="s">
        <v>28</v>
      </c>
      <c r="N117" s="9" t="s">
        <v>29</v>
      </c>
      <c r="O117" s="9" t="s">
        <v>266</v>
      </c>
      <c r="P117" s="9" t="s">
        <v>267</v>
      </c>
      <c r="Q117" s="9"/>
      <c r="R117" s="9"/>
      <c r="S117" s="9"/>
      <c r="T117" s="9" t="s">
        <v>32</v>
      </c>
      <c r="U117" s="9" t="s">
        <v>33</v>
      </c>
    </row>
    <row r="118" spans="1:21" ht="15.6" x14ac:dyDescent="0.3">
      <c r="A118" s="9" t="s">
        <v>263</v>
      </c>
      <c r="B118" s="9" t="s">
        <v>274</v>
      </c>
      <c r="C118" s="9" t="s">
        <v>22</v>
      </c>
      <c r="D118" s="10">
        <v>45911</v>
      </c>
      <c r="E118" s="9" t="s">
        <v>23</v>
      </c>
      <c r="F118" s="11" t="s">
        <v>47</v>
      </c>
      <c r="G118" s="25" t="s">
        <v>48</v>
      </c>
      <c r="H118" s="25" t="s">
        <v>49</v>
      </c>
      <c r="I118" s="9" t="s">
        <v>27</v>
      </c>
      <c r="J118" s="9">
        <v>1</v>
      </c>
      <c r="K118" s="9">
        <v>60</v>
      </c>
      <c r="L118" s="13">
        <f t="shared" si="10"/>
        <v>0.6</v>
      </c>
      <c r="M118" s="9" t="s">
        <v>28</v>
      </c>
      <c r="N118" s="9" t="s">
        <v>29</v>
      </c>
      <c r="O118" s="9" t="s">
        <v>266</v>
      </c>
      <c r="P118" s="9" t="s">
        <v>267</v>
      </c>
      <c r="Q118" s="9"/>
      <c r="R118" s="9"/>
      <c r="S118" s="9"/>
      <c r="T118" s="9" t="s">
        <v>32</v>
      </c>
      <c r="U118" s="9" t="s">
        <v>33</v>
      </c>
    </row>
    <row r="119" spans="1:21" ht="15.6" x14ac:dyDescent="0.3">
      <c r="A119" s="9" t="s">
        <v>275</v>
      </c>
      <c r="B119" s="9" t="s">
        <v>276</v>
      </c>
      <c r="C119" s="9" t="s">
        <v>22</v>
      </c>
      <c r="D119" s="10">
        <v>45911</v>
      </c>
      <c r="E119" s="9" t="s">
        <v>23</v>
      </c>
      <c r="F119" s="11" t="s">
        <v>36</v>
      </c>
      <c r="G119" s="14" t="s">
        <v>37</v>
      </c>
      <c r="H119" s="9" t="s">
        <v>38</v>
      </c>
      <c r="I119" s="9" t="s">
        <v>27</v>
      </c>
      <c r="J119" s="9">
        <v>1</v>
      </c>
      <c r="K119" s="9">
        <v>10</v>
      </c>
      <c r="L119" s="13">
        <f t="shared" si="10"/>
        <v>0.1</v>
      </c>
      <c r="M119" s="9" t="s">
        <v>28</v>
      </c>
      <c r="N119" s="9" t="s">
        <v>29</v>
      </c>
      <c r="O119" s="9" t="s">
        <v>277</v>
      </c>
      <c r="P119" s="9" t="s">
        <v>278</v>
      </c>
      <c r="Q119" s="9"/>
      <c r="R119" s="9"/>
      <c r="S119" s="9"/>
      <c r="T119" s="9" t="s">
        <v>32</v>
      </c>
      <c r="U119" s="9" t="s">
        <v>33</v>
      </c>
    </row>
    <row r="120" spans="1:21" ht="15.6" x14ac:dyDescent="0.3">
      <c r="A120" s="9" t="s">
        <v>275</v>
      </c>
      <c r="B120" s="9" t="s">
        <v>279</v>
      </c>
      <c r="C120" s="9" t="s">
        <v>22</v>
      </c>
      <c r="D120" s="10">
        <v>45911</v>
      </c>
      <c r="E120" s="9" t="s">
        <v>23</v>
      </c>
      <c r="F120" s="11" t="s">
        <v>24</v>
      </c>
      <c r="G120" s="14" t="s">
        <v>25</v>
      </c>
      <c r="H120" s="9" t="s">
        <v>26</v>
      </c>
      <c r="I120" s="9" t="s">
        <v>27</v>
      </c>
      <c r="J120" s="9">
        <v>1</v>
      </c>
      <c r="K120" s="9">
        <v>10</v>
      </c>
      <c r="L120" s="13">
        <f t="shared" si="10"/>
        <v>0.1</v>
      </c>
      <c r="M120" s="9" t="s">
        <v>28</v>
      </c>
      <c r="N120" s="9" t="s">
        <v>29</v>
      </c>
      <c r="O120" s="9" t="s">
        <v>277</v>
      </c>
      <c r="P120" s="9" t="s">
        <v>278</v>
      </c>
      <c r="Q120" s="9"/>
      <c r="R120" s="9"/>
      <c r="S120" s="9"/>
      <c r="T120" s="9" t="s">
        <v>32</v>
      </c>
      <c r="U120" s="9" t="s">
        <v>33</v>
      </c>
    </row>
    <row r="121" spans="1:21" ht="15.6" x14ac:dyDescent="0.3">
      <c r="A121" s="9" t="s">
        <v>275</v>
      </c>
      <c r="B121" s="9" t="s">
        <v>280</v>
      </c>
      <c r="C121" s="9" t="s">
        <v>22</v>
      </c>
      <c r="D121" s="10">
        <v>45911</v>
      </c>
      <c r="E121" s="9" t="s">
        <v>23</v>
      </c>
      <c r="F121" s="26" t="s">
        <v>47</v>
      </c>
      <c r="G121" s="27" t="s">
        <v>48</v>
      </c>
      <c r="H121" s="27" t="s">
        <v>49</v>
      </c>
      <c r="I121" s="9" t="s">
        <v>27</v>
      </c>
      <c r="J121" s="9">
        <v>1</v>
      </c>
      <c r="K121" s="9">
        <v>70</v>
      </c>
      <c r="L121" s="13">
        <f t="shared" si="10"/>
        <v>0.7</v>
      </c>
      <c r="M121" s="9" t="s">
        <v>28</v>
      </c>
      <c r="N121" s="9" t="s">
        <v>29</v>
      </c>
      <c r="O121" s="9" t="s">
        <v>277</v>
      </c>
      <c r="P121" s="9" t="s">
        <v>278</v>
      </c>
      <c r="Q121" s="9"/>
      <c r="R121" s="9"/>
      <c r="S121" s="9"/>
      <c r="T121" s="9" t="s">
        <v>32</v>
      </c>
      <c r="U121" s="9" t="s">
        <v>33</v>
      </c>
    </row>
    <row r="122" spans="1:21" ht="15.6" x14ac:dyDescent="0.3">
      <c r="A122" s="9" t="s">
        <v>275</v>
      </c>
      <c r="B122" s="9" t="s">
        <v>281</v>
      </c>
      <c r="C122" s="9" t="s">
        <v>22</v>
      </c>
      <c r="D122" s="10">
        <v>45911</v>
      </c>
      <c r="E122" s="9" t="s">
        <v>23</v>
      </c>
      <c r="F122" s="26" t="s">
        <v>36</v>
      </c>
      <c r="G122" s="28" t="s">
        <v>101</v>
      </c>
      <c r="H122" s="28" t="s">
        <v>102</v>
      </c>
      <c r="I122" s="9" t="s">
        <v>27</v>
      </c>
      <c r="J122" s="9">
        <v>1</v>
      </c>
      <c r="K122" s="9">
        <v>5</v>
      </c>
      <c r="L122" s="13">
        <f t="shared" si="10"/>
        <v>0.05</v>
      </c>
      <c r="M122" s="9" t="s">
        <v>28</v>
      </c>
      <c r="N122" s="9" t="s">
        <v>29</v>
      </c>
      <c r="O122" s="9" t="s">
        <v>277</v>
      </c>
      <c r="P122" s="9" t="s">
        <v>278</v>
      </c>
      <c r="Q122" s="9"/>
      <c r="R122" s="9"/>
      <c r="S122" s="9"/>
      <c r="T122" s="9" t="s">
        <v>32</v>
      </c>
      <c r="U122" s="9" t="s">
        <v>33</v>
      </c>
    </row>
    <row r="123" spans="1:21" ht="15.6" x14ac:dyDescent="0.3">
      <c r="A123" s="9" t="s">
        <v>275</v>
      </c>
      <c r="B123" s="9" t="s">
        <v>282</v>
      </c>
      <c r="C123" s="9" t="s">
        <v>22</v>
      </c>
      <c r="D123" s="10">
        <v>45911</v>
      </c>
      <c r="E123" s="9" t="s">
        <v>23</v>
      </c>
      <c r="F123" s="28" t="s">
        <v>42</v>
      </c>
      <c r="G123" s="28" t="s">
        <v>171</v>
      </c>
      <c r="H123" s="28" t="s">
        <v>172</v>
      </c>
      <c r="I123" s="9" t="s">
        <v>27</v>
      </c>
      <c r="J123" s="9">
        <v>1</v>
      </c>
      <c r="K123" s="9">
        <v>80</v>
      </c>
      <c r="L123" s="13">
        <f t="shared" si="10"/>
        <v>0.8</v>
      </c>
      <c r="M123" s="9" t="s">
        <v>28</v>
      </c>
      <c r="N123" s="9" t="s">
        <v>29</v>
      </c>
      <c r="O123" s="9" t="s">
        <v>277</v>
      </c>
      <c r="P123" s="9" t="s">
        <v>278</v>
      </c>
      <c r="Q123" s="9"/>
      <c r="R123" s="9"/>
      <c r="S123" s="9"/>
      <c r="T123" s="9" t="s">
        <v>32</v>
      </c>
      <c r="U123" s="9" t="s">
        <v>33</v>
      </c>
    </row>
    <row r="124" spans="1:21" ht="15.6" x14ac:dyDescent="0.3">
      <c r="A124" s="9" t="s">
        <v>283</v>
      </c>
      <c r="B124" s="9" t="s">
        <v>284</v>
      </c>
      <c r="C124" s="9" t="s">
        <v>22</v>
      </c>
      <c r="D124" s="10">
        <v>45911</v>
      </c>
      <c r="E124" s="9" t="s">
        <v>23</v>
      </c>
      <c r="F124" s="28" t="s">
        <v>42</v>
      </c>
      <c r="G124" s="28" t="s">
        <v>171</v>
      </c>
      <c r="H124" s="28" t="s">
        <v>172</v>
      </c>
      <c r="I124" s="9" t="s">
        <v>27</v>
      </c>
      <c r="J124" s="9">
        <v>1</v>
      </c>
      <c r="K124" s="9">
        <v>20</v>
      </c>
      <c r="L124" s="13">
        <f t="shared" si="10"/>
        <v>0.2</v>
      </c>
      <c r="M124" s="9" t="s">
        <v>28</v>
      </c>
      <c r="N124" s="9" t="s">
        <v>29</v>
      </c>
      <c r="O124" s="9" t="s">
        <v>285</v>
      </c>
      <c r="P124" s="9" t="s">
        <v>286</v>
      </c>
      <c r="Q124" s="9"/>
      <c r="R124" s="9"/>
      <c r="S124" s="9"/>
      <c r="T124" s="9" t="s">
        <v>32</v>
      </c>
      <c r="U124" s="9" t="s">
        <v>33</v>
      </c>
    </row>
    <row r="125" spans="1:21" ht="15.6" x14ac:dyDescent="0.3">
      <c r="A125" s="9" t="s">
        <v>283</v>
      </c>
      <c r="B125" s="9" t="s">
        <v>287</v>
      </c>
      <c r="C125" s="9" t="s">
        <v>22</v>
      </c>
      <c r="D125" s="10">
        <v>45911</v>
      </c>
      <c r="E125" s="9" t="s">
        <v>23</v>
      </c>
      <c r="F125" s="28" t="s">
        <v>42</v>
      </c>
      <c r="G125" s="28" t="s">
        <v>167</v>
      </c>
      <c r="H125" s="28" t="s">
        <v>168</v>
      </c>
      <c r="I125" s="9" t="s">
        <v>27</v>
      </c>
      <c r="J125" s="9">
        <v>1</v>
      </c>
      <c r="K125" s="9">
        <v>80</v>
      </c>
      <c r="L125" s="13">
        <f t="shared" si="10"/>
        <v>0.8</v>
      </c>
      <c r="M125" s="9" t="s">
        <v>28</v>
      </c>
      <c r="N125" s="9" t="s">
        <v>29</v>
      </c>
      <c r="O125" s="9" t="s">
        <v>285</v>
      </c>
      <c r="P125" s="9" t="s">
        <v>286</v>
      </c>
      <c r="Q125" s="9"/>
      <c r="R125" s="9"/>
      <c r="S125" s="9"/>
      <c r="T125" s="9" t="s">
        <v>32</v>
      </c>
      <c r="U125" s="9" t="s">
        <v>33</v>
      </c>
    </row>
    <row r="126" spans="1:21" ht="15.6" x14ac:dyDescent="0.3">
      <c r="A126" s="9" t="s">
        <v>283</v>
      </c>
      <c r="B126" s="9" t="s">
        <v>288</v>
      </c>
      <c r="C126" s="9" t="s">
        <v>22</v>
      </c>
      <c r="D126" s="10">
        <v>45911</v>
      </c>
      <c r="E126" s="9" t="s">
        <v>23</v>
      </c>
      <c r="F126" s="28" t="s">
        <v>271</v>
      </c>
      <c r="G126" s="28" t="s">
        <v>272</v>
      </c>
      <c r="H126" s="28" t="s">
        <v>273</v>
      </c>
      <c r="I126" s="9" t="s">
        <v>27</v>
      </c>
      <c r="J126" s="9">
        <v>1</v>
      </c>
      <c r="K126" s="9">
        <v>5</v>
      </c>
      <c r="L126" s="13">
        <f t="shared" si="10"/>
        <v>0.05</v>
      </c>
      <c r="M126" s="9" t="s">
        <v>28</v>
      </c>
      <c r="N126" s="9" t="s">
        <v>29</v>
      </c>
      <c r="O126" s="9" t="s">
        <v>285</v>
      </c>
      <c r="P126" s="9" t="s">
        <v>286</v>
      </c>
      <c r="Q126" s="9"/>
      <c r="R126" s="9"/>
      <c r="S126" s="9"/>
      <c r="T126" s="9" t="s">
        <v>32</v>
      </c>
      <c r="U126" s="9" t="s">
        <v>33</v>
      </c>
    </row>
    <row r="127" spans="1:21" ht="15.6" x14ac:dyDescent="0.3">
      <c r="A127" s="9" t="s">
        <v>283</v>
      </c>
      <c r="B127" s="9" t="s">
        <v>289</v>
      </c>
      <c r="C127" s="9" t="s">
        <v>22</v>
      </c>
      <c r="D127" s="10">
        <v>45911</v>
      </c>
      <c r="E127" s="9" t="s">
        <v>23</v>
      </c>
      <c r="F127" s="26" t="s">
        <v>47</v>
      </c>
      <c r="G127" s="27" t="s">
        <v>48</v>
      </c>
      <c r="H127" s="27" t="s">
        <v>49</v>
      </c>
      <c r="I127" s="9" t="s">
        <v>27</v>
      </c>
      <c r="J127" s="9">
        <v>1</v>
      </c>
      <c r="K127" s="9">
        <v>65</v>
      </c>
      <c r="L127" s="13">
        <f t="shared" si="10"/>
        <v>0.65</v>
      </c>
      <c r="M127" s="9" t="s">
        <v>28</v>
      </c>
      <c r="N127" s="9" t="s">
        <v>29</v>
      </c>
      <c r="O127" s="9" t="s">
        <v>285</v>
      </c>
      <c r="P127" s="9" t="s">
        <v>286</v>
      </c>
      <c r="Q127" s="9"/>
      <c r="R127" s="9"/>
      <c r="S127" s="9"/>
      <c r="T127" s="9" t="s">
        <v>32</v>
      </c>
      <c r="U127" s="9" t="s">
        <v>33</v>
      </c>
    </row>
    <row r="128" spans="1:21" ht="15.6" x14ac:dyDescent="0.3">
      <c r="A128" s="9" t="s">
        <v>290</v>
      </c>
      <c r="B128" s="9" t="s">
        <v>291</v>
      </c>
      <c r="C128" s="9" t="s">
        <v>22</v>
      </c>
      <c r="D128" s="10">
        <v>45911</v>
      </c>
      <c r="E128" s="9" t="s">
        <v>23</v>
      </c>
      <c r="F128" s="28" t="s">
        <v>271</v>
      </c>
      <c r="G128" s="28" t="s">
        <v>292</v>
      </c>
      <c r="H128" s="28" t="s">
        <v>293</v>
      </c>
      <c r="I128" s="9" t="s">
        <v>27</v>
      </c>
      <c r="J128" s="9">
        <v>1</v>
      </c>
      <c r="K128" s="9">
        <v>5</v>
      </c>
      <c r="L128" s="13">
        <f t="shared" si="10"/>
        <v>0.05</v>
      </c>
      <c r="M128" s="9" t="s">
        <v>28</v>
      </c>
      <c r="N128" s="9" t="s">
        <v>29</v>
      </c>
      <c r="O128" s="9" t="s">
        <v>216</v>
      </c>
      <c r="P128" s="9" t="s">
        <v>128</v>
      </c>
      <c r="Q128" s="9"/>
      <c r="R128" s="9"/>
      <c r="S128" s="9"/>
      <c r="T128" s="9" t="s">
        <v>32</v>
      </c>
      <c r="U128" s="9" t="s">
        <v>33</v>
      </c>
    </row>
    <row r="129" spans="1:21" ht="15.6" x14ac:dyDescent="0.3">
      <c r="A129" s="9" t="s">
        <v>290</v>
      </c>
      <c r="B129" s="9" t="s">
        <v>294</v>
      </c>
      <c r="C129" s="9" t="s">
        <v>22</v>
      </c>
      <c r="D129" s="10">
        <v>45911</v>
      </c>
      <c r="E129" s="9" t="s">
        <v>23</v>
      </c>
      <c r="F129" s="28" t="s">
        <v>42</v>
      </c>
      <c r="G129" s="28" t="s">
        <v>261</v>
      </c>
      <c r="H129" s="28" t="s">
        <v>262</v>
      </c>
      <c r="I129" s="9" t="s">
        <v>27</v>
      </c>
      <c r="J129" s="9">
        <v>1</v>
      </c>
      <c r="K129" s="9">
        <v>90</v>
      </c>
      <c r="L129" s="13">
        <f t="shared" si="10"/>
        <v>0.9</v>
      </c>
      <c r="M129" s="9" t="s">
        <v>28</v>
      </c>
      <c r="N129" s="9" t="s">
        <v>29</v>
      </c>
      <c r="O129" s="9" t="s">
        <v>216</v>
      </c>
      <c r="P129" s="9" t="s">
        <v>128</v>
      </c>
      <c r="Q129" s="9"/>
      <c r="R129" s="9"/>
      <c r="S129" s="9"/>
      <c r="T129" s="9" t="s">
        <v>32</v>
      </c>
      <c r="U129" s="9" t="s">
        <v>33</v>
      </c>
    </row>
    <row r="130" spans="1:21" ht="15.6" x14ac:dyDescent="0.3">
      <c r="A130" s="9" t="s">
        <v>290</v>
      </c>
      <c r="B130" s="9" t="s">
        <v>295</v>
      </c>
      <c r="C130" s="9" t="s">
        <v>22</v>
      </c>
      <c r="D130" s="10">
        <v>45911</v>
      </c>
      <c r="E130" s="9" t="s">
        <v>23</v>
      </c>
      <c r="F130" s="28" t="s">
        <v>42</v>
      </c>
      <c r="G130" s="28" t="s">
        <v>171</v>
      </c>
      <c r="H130" s="28" t="s">
        <v>172</v>
      </c>
      <c r="I130" s="9" t="s">
        <v>27</v>
      </c>
      <c r="J130" s="9">
        <v>1</v>
      </c>
      <c r="K130" s="9">
        <v>10</v>
      </c>
      <c r="L130" s="13">
        <f t="shared" si="10"/>
        <v>0.1</v>
      </c>
      <c r="M130" s="9" t="s">
        <v>28</v>
      </c>
      <c r="N130" s="9" t="s">
        <v>29</v>
      </c>
      <c r="O130" s="9" t="s">
        <v>216</v>
      </c>
      <c r="P130" s="9" t="s">
        <v>128</v>
      </c>
      <c r="Q130" s="9"/>
      <c r="R130" s="9"/>
      <c r="S130" s="9"/>
      <c r="T130" s="9" t="s">
        <v>32</v>
      </c>
      <c r="U130" s="9" t="s">
        <v>33</v>
      </c>
    </row>
    <row r="131" spans="1:21" ht="15.6" x14ac:dyDescent="0.3">
      <c r="A131" s="9" t="s">
        <v>290</v>
      </c>
      <c r="B131" s="9" t="s">
        <v>296</v>
      </c>
      <c r="C131" s="9" t="s">
        <v>22</v>
      </c>
      <c r="D131" s="10">
        <v>45911</v>
      </c>
      <c r="E131" s="9" t="s">
        <v>23</v>
      </c>
      <c r="F131" s="26" t="s">
        <v>47</v>
      </c>
      <c r="G131" s="27" t="s">
        <v>48</v>
      </c>
      <c r="H131" s="27" t="s">
        <v>49</v>
      </c>
      <c r="I131" s="9" t="s">
        <v>27</v>
      </c>
      <c r="J131" s="9">
        <v>1</v>
      </c>
      <c r="K131" s="9">
        <v>20</v>
      </c>
      <c r="L131" s="13">
        <f t="shared" ref="L131:L194" si="11">K131/100</f>
        <v>0.2</v>
      </c>
      <c r="M131" s="9" t="s">
        <v>28</v>
      </c>
      <c r="N131" s="9" t="s">
        <v>29</v>
      </c>
      <c r="O131" s="9" t="s">
        <v>216</v>
      </c>
      <c r="P131" s="9" t="s">
        <v>128</v>
      </c>
      <c r="Q131" s="9"/>
      <c r="R131" s="9"/>
      <c r="S131" s="9"/>
      <c r="T131" s="9" t="s">
        <v>32</v>
      </c>
      <c r="U131" s="9" t="s">
        <v>33</v>
      </c>
    </row>
    <row r="132" spans="1:21" ht="15.6" x14ac:dyDescent="0.3">
      <c r="A132" s="9" t="s">
        <v>297</v>
      </c>
      <c r="B132" s="9" t="s">
        <v>298</v>
      </c>
      <c r="C132" s="9" t="s">
        <v>22</v>
      </c>
      <c r="D132" s="10">
        <v>45911</v>
      </c>
      <c r="E132" s="9" t="s">
        <v>23</v>
      </c>
      <c r="F132" s="28" t="s">
        <v>42</v>
      </c>
      <c r="G132" s="29" t="s">
        <v>231</v>
      </c>
      <c r="H132" s="28" t="s">
        <v>232</v>
      </c>
      <c r="I132" s="9" t="s">
        <v>27</v>
      </c>
      <c r="J132" s="9">
        <v>1</v>
      </c>
      <c r="K132" s="9">
        <v>30</v>
      </c>
      <c r="L132" s="13">
        <f t="shared" si="11"/>
        <v>0.3</v>
      </c>
      <c r="M132" s="9" t="s">
        <v>28</v>
      </c>
      <c r="N132" s="9" t="s">
        <v>29</v>
      </c>
      <c r="O132" s="9" t="s">
        <v>299</v>
      </c>
      <c r="P132" s="9" t="s">
        <v>300</v>
      </c>
      <c r="Q132" s="9"/>
      <c r="R132" s="9"/>
      <c r="S132" s="9"/>
      <c r="T132" s="9" t="s">
        <v>32</v>
      </c>
      <c r="U132" s="9" t="s">
        <v>33</v>
      </c>
    </row>
    <row r="133" spans="1:21" ht="15.6" x14ac:dyDescent="0.3">
      <c r="A133" s="9" t="s">
        <v>297</v>
      </c>
      <c r="B133" s="9" t="s">
        <v>301</v>
      </c>
      <c r="C133" s="9" t="s">
        <v>22</v>
      </c>
      <c r="D133" s="10">
        <v>45911</v>
      </c>
      <c r="E133" s="9" t="s">
        <v>23</v>
      </c>
      <c r="F133" s="26" t="s">
        <v>24</v>
      </c>
      <c r="G133" s="28" t="s">
        <v>25</v>
      </c>
      <c r="H133" s="28" t="s">
        <v>26</v>
      </c>
      <c r="I133" s="9" t="s">
        <v>27</v>
      </c>
      <c r="J133" s="9">
        <v>1</v>
      </c>
      <c r="K133" s="9">
        <v>5</v>
      </c>
      <c r="L133" s="13">
        <f t="shared" si="11"/>
        <v>0.05</v>
      </c>
      <c r="M133" s="9" t="s">
        <v>28</v>
      </c>
      <c r="N133" s="9" t="s">
        <v>29</v>
      </c>
      <c r="O133" s="9" t="s">
        <v>299</v>
      </c>
      <c r="P133" s="9" t="s">
        <v>300</v>
      </c>
      <c r="Q133" s="9"/>
      <c r="R133" s="9"/>
      <c r="S133" s="9"/>
      <c r="T133" s="9" t="s">
        <v>32</v>
      </c>
      <c r="U133" s="9" t="s">
        <v>33</v>
      </c>
    </row>
    <row r="134" spans="1:21" ht="15.6" x14ac:dyDescent="0.3">
      <c r="A134" s="9" t="s">
        <v>297</v>
      </c>
      <c r="B134" s="9" t="s">
        <v>302</v>
      </c>
      <c r="C134" s="9" t="s">
        <v>22</v>
      </c>
      <c r="D134" s="10">
        <v>45911</v>
      </c>
      <c r="E134" s="9" t="s">
        <v>23</v>
      </c>
      <c r="F134" s="28" t="s">
        <v>42</v>
      </c>
      <c r="G134" s="28" t="s">
        <v>167</v>
      </c>
      <c r="H134" s="28" t="s">
        <v>168</v>
      </c>
      <c r="I134" s="9" t="s">
        <v>27</v>
      </c>
      <c r="J134" s="9">
        <v>1</v>
      </c>
      <c r="K134" s="9">
        <v>40</v>
      </c>
      <c r="L134" s="13">
        <f t="shared" si="11"/>
        <v>0.4</v>
      </c>
      <c r="M134" s="9" t="s">
        <v>28</v>
      </c>
      <c r="N134" s="9" t="s">
        <v>29</v>
      </c>
      <c r="O134" s="9" t="s">
        <v>299</v>
      </c>
      <c r="P134" s="9" t="s">
        <v>300</v>
      </c>
      <c r="Q134" s="9"/>
      <c r="R134" s="9"/>
      <c r="S134" s="9"/>
      <c r="T134" s="9" t="s">
        <v>32</v>
      </c>
      <c r="U134" s="9" t="s">
        <v>33</v>
      </c>
    </row>
    <row r="135" spans="1:21" ht="15.6" x14ac:dyDescent="0.3">
      <c r="A135" s="9" t="s">
        <v>297</v>
      </c>
      <c r="B135" s="9" t="s">
        <v>303</v>
      </c>
      <c r="C135" s="9" t="s">
        <v>22</v>
      </c>
      <c r="D135" s="10">
        <v>45911</v>
      </c>
      <c r="E135" s="9" t="s">
        <v>23</v>
      </c>
      <c r="F135" s="26" t="s">
        <v>47</v>
      </c>
      <c r="G135" s="27" t="s">
        <v>48</v>
      </c>
      <c r="H135" s="27" t="s">
        <v>49</v>
      </c>
      <c r="I135" s="9" t="s">
        <v>27</v>
      </c>
      <c r="J135" s="9">
        <v>1</v>
      </c>
      <c r="K135" s="9">
        <v>60</v>
      </c>
      <c r="L135" s="13">
        <f t="shared" si="11"/>
        <v>0.6</v>
      </c>
      <c r="M135" s="9" t="s">
        <v>28</v>
      </c>
      <c r="N135" s="9" t="s">
        <v>29</v>
      </c>
      <c r="O135" s="9" t="s">
        <v>299</v>
      </c>
      <c r="P135" s="9" t="s">
        <v>300</v>
      </c>
      <c r="Q135" s="9"/>
      <c r="R135" s="9"/>
      <c r="S135" s="9"/>
      <c r="T135" s="9" t="s">
        <v>32</v>
      </c>
      <c r="U135" s="9" t="s">
        <v>33</v>
      </c>
    </row>
    <row r="136" spans="1:21" ht="15.6" x14ac:dyDescent="0.3">
      <c r="A136" s="9" t="s">
        <v>297</v>
      </c>
      <c r="B136" s="9" t="s">
        <v>304</v>
      </c>
      <c r="C136" s="9" t="s">
        <v>22</v>
      </c>
      <c r="D136" s="10">
        <v>45911</v>
      </c>
      <c r="E136" s="9" t="s">
        <v>23</v>
      </c>
      <c r="F136" s="28" t="s">
        <v>57</v>
      </c>
      <c r="G136" s="28" t="s">
        <v>58</v>
      </c>
      <c r="H136" s="28" t="s">
        <v>59</v>
      </c>
      <c r="I136" s="9" t="s">
        <v>27</v>
      </c>
      <c r="J136" s="9">
        <v>1</v>
      </c>
      <c r="K136" s="9">
        <v>50</v>
      </c>
      <c r="L136" s="13">
        <f t="shared" si="11"/>
        <v>0.5</v>
      </c>
      <c r="M136" s="9" t="s">
        <v>28</v>
      </c>
      <c r="N136" s="9" t="s">
        <v>29</v>
      </c>
      <c r="O136" s="9" t="s">
        <v>299</v>
      </c>
      <c r="P136" s="9" t="s">
        <v>300</v>
      </c>
      <c r="Q136" s="9"/>
      <c r="R136" s="9"/>
      <c r="S136" s="9"/>
      <c r="T136" s="9" t="s">
        <v>32</v>
      </c>
      <c r="U136" s="9" t="s">
        <v>33</v>
      </c>
    </row>
    <row r="137" spans="1:21" ht="15.6" x14ac:dyDescent="0.3">
      <c r="A137" s="9" t="s">
        <v>297</v>
      </c>
      <c r="B137" s="9" t="s">
        <v>305</v>
      </c>
      <c r="C137" s="9" t="s">
        <v>22</v>
      </c>
      <c r="D137" s="10">
        <v>45911</v>
      </c>
      <c r="E137" s="9" t="s">
        <v>23</v>
      </c>
      <c r="F137" s="28" t="s">
        <v>306</v>
      </c>
      <c r="G137" s="28" t="s">
        <v>307</v>
      </c>
      <c r="H137" s="28" t="s">
        <v>308</v>
      </c>
      <c r="I137" s="9" t="s">
        <v>309</v>
      </c>
      <c r="J137" s="9">
        <v>1</v>
      </c>
      <c r="K137" s="9">
        <v>5</v>
      </c>
      <c r="L137" s="13">
        <f t="shared" si="11"/>
        <v>0.05</v>
      </c>
      <c r="M137" s="9" t="s">
        <v>28</v>
      </c>
      <c r="N137" s="9" t="s">
        <v>29</v>
      </c>
      <c r="O137" s="9" t="s">
        <v>299</v>
      </c>
      <c r="P137" s="9" t="s">
        <v>300</v>
      </c>
      <c r="Q137" s="9"/>
      <c r="R137" s="9"/>
      <c r="S137" s="9"/>
      <c r="T137" s="9" t="s">
        <v>32</v>
      </c>
      <c r="U137" s="9" t="s">
        <v>33</v>
      </c>
    </row>
    <row r="138" spans="1:21" ht="15.6" x14ac:dyDescent="0.3">
      <c r="A138" s="9" t="s">
        <v>297</v>
      </c>
      <c r="B138" s="9" t="s">
        <v>310</v>
      </c>
      <c r="C138" s="9" t="s">
        <v>22</v>
      </c>
      <c r="D138" s="10">
        <v>45911</v>
      </c>
      <c r="E138" s="9" t="s">
        <v>23</v>
      </c>
      <c r="F138" s="28" t="s">
        <v>42</v>
      </c>
      <c r="G138" s="28" t="s">
        <v>171</v>
      </c>
      <c r="H138" s="28" t="s">
        <v>172</v>
      </c>
      <c r="I138" s="9" t="s">
        <v>27</v>
      </c>
      <c r="J138" s="9">
        <v>1</v>
      </c>
      <c r="K138" s="9">
        <v>30</v>
      </c>
      <c r="L138" s="13">
        <f t="shared" si="11"/>
        <v>0.3</v>
      </c>
      <c r="M138" s="9" t="s">
        <v>28</v>
      </c>
      <c r="N138" s="9" t="s">
        <v>29</v>
      </c>
      <c r="O138" s="9" t="s">
        <v>299</v>
      </c>
      <c r="P138" s="9" t="s">
        <v>300</v>
      </c>
      <c r="Q138" s="9"/>
      <c r="R138" s="9"/>
      <c r="S138" s="9"/>
      <c r="T138" s="9" t="s">
        <v>32</v>
      </c>
      <c r="U138" s="9" t="s">
        <v>33</v>
      </c>
    </row>
    <row r="139" spans="1:21" ht="15.6" x14ac:dyDescent="0.3">
      <c r="A139" s="9" t="s">
        <v>311</v>
      </c>
      <c r="B139" s="9" t="s">
        <v>312</v>
      </c>
      <c r="C139" s="9" t="s">
        <v>22</v>
      </c>
      <c r="D139" s="10">
        <v>45910</v>
      </c>
      <c r="E139" s="9" t="s">
        <v>23</v>
      </c>
      <c r="F139" s="9" t="s">
        <v>36</v>
      </c>
      <c r="G139" s="9" t="s">
        <v>313</v>
      </c>
      <c r="H139" s="9" t="s">
        <v>314</v>
      </c>
      <c r="I139" s="9" t="s">
        <v>27</v>
      </c>
      <c r="J139" s="9">
        <v>1</v>
      </c>
      <c r="K139" s="9">
        <v>15</v>
      </c>
      <c r="L139" s="13">
        <f t="shared" si="11"/>
        <v>0.15</v>
      </c>
      <c r="M139" s="9" t="s">
        <v>28</v>
      </c>
      <c r="N139" s="9" t="s">
        <v>29</v>
      </c>
      <c r="O139" s="30" t="s">
        <v>315</v>
      </c>
      <c r="P139" s="30" t="s">
        <v>316</v>
      </c>
      <c r="Q139" s="9"/>
      <c r="R139" s="9"/>
      <c r="S139" s="9"/>
      <c r="T139" s="9" t="s">
        <v>32</v>
      </c>
      <c r="U139" s="9" t="s">
        <v>33</v>
      </c>
    </row>
    <row r="140" spans="1:21" ht="15.6" x14ac:dyDescent="0.3">
      <c r="A140" s="9" t="s">
        <v>311</v>
      </c>
      <c r="B140" s="9" t="s">
        <v>317</v>
      </c>
      <c r="C140" s="9" t="s">
        <v>22</v>
      </c>
      <c r="D140" s="10">
        <v>45910</v>
      </c>
      <c r="E140" s="9" t="s">
        <v>23</v>
      </c>
      <c r="F140" s="9" t="s">
        <v>42</v>
      </c>
      <c r="G140" s="9" t="s">
        <v>318</v>
      </c>
      <c r="H140" s="9" t="s">
        <v>319</v>
      </c>
      <c r="I140" s="9" t="s">
        <v>27</v>
      </c>
      <c r="J140" s="9">
        <v>1</v>
      </c>
      <c r="K140" s="9">
        <v>85</v>
      </c>
      <c r="L140" s="13">
        <f t="shared" si="11"/>
        <v>0.85</v>
      </c>
      <c r="M140" s="9" t="s">
        <v>28</v>
      </c>
      <c r="N140" s="9" t="s">
        <v>29</v>
      </c>
      <c r="O140" s="30" t="s">
        <v>315</v>
      </c>
      <c r="P140" s="30" t="s">
        <v>316</v>
      </c>
      <c r="Q140" s="9"/>
      <c r="R140" s="9"/>
      <c r="S140" s="9"/>
      <c r="T140" s="9" t="s">
        <v>32</v>
      </c>
      <c r="U140" s="9" t="s">
        <v>33</v>
      </c>
    </row>
    <row r="141" spans="1:21" ht="15.6" x14ac:dyDescent="0.3">
      <c r="A141" s="9" t="s">
        <v>311</v>
      </c>
      <c r="B141" s="9" t="s">
        <v>320</v>
      </c>
      <c r="C141" s="9" t="s">
        <v>22</v>
      </c>
      <c r="D141" s="10">
        <v>45910</v>
      </c>
      <c r="E141" s="9" t="s">
        <v>23</v>
      </c>
      <c r="F141" s="9" t="s">
        <v>42</v>
      </c>
      <c r="G141" s="9" t="s">
        <v>261</v>
      </c>
      <c r="H141" s="9" t="s">
        <v>321</v>
      </c>
      <c r="I141" s="9" t="s">
        <v>27</v>
      </c>
      <c r="J141" s="9">
        <v>1</v>
      </c>
      <c r="K141" s="9">
        <v>15</v>
      </c>
      <c r="L141" s="13">
        <f t="shared" si="11"/>
        <v>0.15</v>
      </c>
      <c r="M141" s="9" t="s">
        <v>28</v>
      </c>
      <c r="N141" s="9" t="s">
        <v>29</v>
      </c>
      <c r="O141" s="30" t="s">
        <v>315</v>
      </c>
      <c r="P141" s="30" t="s">
        <v>316</v>
      </c>
      <c r="Q141" s="9"/>
      <c r="R141" s="9"/>
      <c r="S141" s="9"/>
      <c r="T141" s="9" t="s">
        <v>32</v>
      </c>
      <c r="U141" s="9" t="s">
        <v>33</v>
      </c>
    </row>
    <row r="142" spans="1:21" ht="15.6" x14ac:dyDescent="0.3">
      <c r="A142" s="9" t="s">
        <v>322</v>
      </c>
      <c r="B142" s="9" t="s">
        <v>323</v>
      </c>
      <c r="C142" s="9" t="s">
        <v>22</v>
      </c>
      <c r="D142" s="10">
        <v>45910</v>
      </c>
      <c r="E142" s="9" t="s">
        <v>23</v>
      </c>
      <c r="F142" s="9" t="s">
        <v>118</v>
      </c>
      <c r="G142" s="9" t="s">
        <v>324</v>
      </c>
      <c r="H142" s="9" t="s">
        <v>325</v>
      </c>
      <c r="I142" s="9" t="s">
        <v>27</v>
      </c>
      <c r="J142" s="9">
        <v>1</v>
      </c>
      <c r="K142" s="9">
        <v>85</v>
      </c>
      <c r="L142" s="13">
        <f t="shared" si="11"/>
        <v>0.85</v>
      </c>
      <c r="M142" s="9" t="s">
        <v>28</v>
      </c>
      <c r="N142" s="9" t="s">
        <v>29</v>
      </c>
      <c r="O142" s="30" t="s">
        <v>326</v>
      </c>
      <c r="P142" s="30" t="s">
        <v>327</v>
      </c>
      <c r="Q142" s="9"/>
      <c r="R142" s="9"/>
      <c r="S142" s="9"/>
      <c r="T142" s="9" t="s">
        <v>32</v>
      </c>
      <c r="U142" s="9" t="s">
        <v>33</v>
      </c>
    </row>
    <row r="143" spans="1:21" ht="15.6" x14ac:dyDescent="0.3">
      <c r="A143" s="9" t="s">
        <v>322</v>
      </c>
      <c r="B143" s="9" t="s">
        <v>328</v>
      </c>
      <c r="C143" s="9" t="s">
        <v>22</v>
      </c>
      <c r="D143" s="10">
        <v>45910</v>
      </c>
      <c r="E143" s="9" t="s">
        <v>23</v>
      </c>
      <c r="F143" s="9" t="s">
        <v>42</v>
      </c>
      <c r="G143" s="9" t="s">
        <v>43</v>
      </c>
      <c r="H143" s="9" t="s">
        <v>44</v>
      </c>
      <c r="I143" s="9" t="s">
        <v>27</v>
      </c>
      <c r="J143" s="9">
        <v>1</v>
      </c>
      <c r="K143" s="9">
        <v>3</v>
      </c>
      <c r="L143" s="13">
        <f t="shared" si="11"/>
        <v>0.03</v>
      </c>
      <c r="M143" s="9" t="s">
        <v>28</v>
      </c>
      <c r="N143" s="9" t="s">
        <v>29</v>
      </c>
      <c r="O143" s="30" t="s">
        <v>326</v>
      </c>
      <c r="P143" s="30" t="s">
        <v>327</v>
      </c>
      <c r="Q143" s="9"/>
      <c r="R143" s="9"/>
      <c r="S143" s="9"/>
      <c r="T143" s="9" t="s">
        <v>32</v>
      </c>
      <c r="U143" s="9" t="s">
        <v>33</v>
      </c>
    </row>
    <row r="144" spans="1:21" ht="15.6" x14ac:dyDescent="0.3">
      <c r="A144" s="9" t="s">
        <v>322</v>
      </c>
      <c r="B144" s="9" t="s">
        <v>329</v>
      </c>
      <c r="C144" s="9" t="s">
        <v>22</v>
      </c>
      <c r="D144" s="10">
        <v>45910</v>
      </c>
      <c r="E144" s="9" t="s">
        <v>23</v>
      </c>
      <c r="F144" s="9" t="s">
        <v>42</v>
      </c>
      <c r="G144" s="9" t="s">
        <v>318</v>
      </c>
      <c r="H144" s="9" t="s">
        <v>319</v>
      </c>
      <c r="I144" s="9" t="s">
        <v>27</v>
      </c>
      <c r="J144" s="9">
        <v>1</v>
      </c>
      <c r="K144" s="9">
        <v>60</v>
      </c>
      <c r="L144" s="13">
        <f t="shared" si="11"/>
        <v>0.6</v>
      </c>
      <c r="M144" s="9" t="s">
        <v>28</v>
      </c>
      <c r="N144" s="9" t="s">
        <v>29</v>
      </c>
      <c r="O144" s="30" t="s">
        <v>326</v>
      </c>
      <c r="P144" s="30" t="s">
        <v>327</v>
      </c>
      <c r="Q144" s="9"/>
      <c r="R144" s="9"/>
      <c r="S144" s="9"/>
      <c r="T144" s="9" t="s">
        <v>32</v>
      </c>
      <c r="U144" s="9" t="s">
        <v>33</v>
      </c>
    </row>
    <row r="145" spans="1:21" ht="15.6" x14ac:dyDescent="0.3">
      <c r="A145" s="9" t="s">
        <v>330</v>
      </c>
      <c r="B145" s="9" t="s">
        <v>331</v>
      </c>
      <c r="C145" s="9" t="s">
        <v>22</v>
      </c>
      <c r="D145" s="10">
        <v>45910</v>
      </c>
      <c r="E145" s="9" t="s">
        <v>23</v>
      </c>
      <c r="F145" s="9" t="s">
        <v>42</v>
      </c>
      <c r="G145" s="9" t="s">
        <v>43</v>
      </c>
      <c r="H145" s="9" t="s">
        <v>44</v>
      </c>
      <c r="I145" s="9" t="s">
        <v>27</v>
      </c>
      <c r="J145" s="9">
        <v>1</v>
      </c>
      <c r="K145" s="9">
        <v>8</v>
      </c>
      <c r="L145" s="13">
        <f t="shared" si="11"/>
        <v>0.08</v>
      </c>
      <c r="M145" s="9" t="s">
        <v>28</v>
      </c>
      <c r="N145" s="9" t="s">
        <v>29</v>
      </c>
      <c r="O145" s="30" t="s">
        <v>332</v>
      </c>
      <c r="P145" s="30" t="s">
        <v>333</v>
      </c>
      <c r="Q145" s="9"/>
      <c r="R145" s="9"/>
      <c r="S145" s="9"/>
      <c r="T145" s="9" t="s">
        <v>32</v>
      </c>
      <c r="U145" s="9" t="s">
        <v>33</v>
      </c>
    </row>
    <row r="146" spans="1:21" ht="15.6" x14ac:dyDescent="0.3">
      <c r="A146" s="9" t="s">
        <v>330</v>
      </c>
      <c r="B146" s="9" t="s">
        <v>334</v>
      </c>
      <c r="C146" s="9" t="s">
        <v>22</v>
      </c>
      <c r="D146" s="10">
        <v>45910</v>
      </c>
      <c r="E146" s="9" t="s">
        <v>23</v>
      </c>
      <c r="F146" s="9" t="s">
        <v>118</v>
      </c>
      <c r="G146" s="9" t="s">
        <v>324</v>
      </c>
      <c r="H146" s="9" t="s">
        <v>325</v>
      </c>
      <c r="I146" s="9" t="s">
        <v>27</v>
      </c>
      <c r="J146" s="9">
        <v>1</v>
      </c>
      <c r="K146" s="9">
        <v>20</v>
      </c>
      <c r="L146" s="13">
        <f t="shared" si="11"/>
        <v>0.2</v>
      </c>
      <c r="M146" s="9" t="s">
        <v>28</v>
      </c>
      <c r="N146" s="9" t="s">
        <v>29</v>
      </c>
      <c r="O146" s="30" t="s">
        <v>332</v>
      </c>
      <c r="P146" s="30" t="s">
        <v>333</v>
      </c>
      <c r="Q146" s="9"/>
      <c r="R146" s="9"/>
      <c r="S146" s="9"/>
      <c r="T146" s="9" t="s">
        <v>32</v>
      </c>
      <c r="U146" s="9" t="s">
        <v>33</v>
      </c>
    </row>
    <row r="147" spans="1:21" ht="15.6" x14ac:dyDescent="0.3">
      <c r="A147" s="9" t="s">
        <v>330</v>
      </c>
      <c r="B147" s="9" t="s">
        <v>335</v>
      </c>
      <c r="C147" s="9" t="s">
        <v>22</v>
      </c>
      <c r="D147" s="10">
        <v>45910</v>
      </c>
      <c r="E147" s="9" t="s">
        <v>23</v>
      </c>
      <c r="F147" s="9" t="s">
        <v>42</v>
      </c>
      <c r="G147" s="9" t="s">
        <v>318</v>
      </c>
      <c r="H147" s="9" t="s">
        <v>319</v>
      </c>
      <c r="I147" s="9" t="s">
        <v>27</v>
      </c>
      <c r="J147" s="9">
        <v>1</v>
      </c>
      <c r="K147" s="9">
        <v>80</v>
      </c>
      <c r="L147" s="13">
        <f t="shared" si="11"/>
        <v>0.8</v>
      </c>
      <c r="M147" s="9" t="s">
        <v>28</v>
      </c>
      <c r="N147" s="9" t="s">
        <v>29</v>
      </c>
      <c r="O147" s="30" t="s">
        <v>332</v>
      </c>
      <c r="P147" s="30" t="s">
        <v>333</v>
      </c>
      <c r="Q147" s="9"/>
      <c r="R147" s="9"/>
      <c r="S147" s="9"/>
      <c r="T147" s="9" t="s">
        <v>32</v>
      </c>
      <c r="U147" s="9" t="s">
        <v>33</v>
      </c>
    </row>
    <row r="148" spans="1:21" ht="15.6" x14ac:dyDescent="0.3">
      <c r="A148" s="9" t="s">
        <v>336</v>
      </c>
      <c r="B148" s="9" t="s">
        <v>337</v>
      </c>
      <c r="C148" s="9" t="s">
        <v>22</v>
      </c>
      <c r="D148" s="10">
        <v>45910</v>
      </c>
      <c r="E148" s="9" t="s">
        <v>23</v>
      </c>
      <c r="F148" s="9" t="s">
        <v>42</v>
      </c>
      <c r="G148" s="9" t="s">
        <v>338</v>
      </c>
      <c r="H148" s="9" t="s">
        <v>339</v>
      </c>
      <c r="I148" s="9" t="s">
        <v>27</v>
      </c>
      <c r="J148" s="9">
        <v>1</v>
      </c>
      <c r="K148" s="9">
        <v>40</v>
      </c>
      <c r="L148" s="13">
        <f t="shared" si="11"/>
        <v>0.4</v>
      </c>
      <c r="M148" s="9" t="s">
        <v>28</v>
      </c>
      <c r="N148" s="9" t="s">
        <v>29</v>
      </c>
      <c r="O148" s="30" t="s">
        <v>340</v>
      </c>
      <c r="P148" s="30" t="s">
        <v>341</v>
      </c>
      <c r="Q148" s="9"/>
      <c r="R148" s="9"/>
      <c r="S148" s="9"/>
      <c r="T148" s="9" t="s">
        <v>32</v>
      </c>
      <c r="U148" s="9" t="s">
        <v>33</v>
      </c>
    </row>
    <row r="149" spans="1:21" ht="15.6" x14ac:dyDescent="0.3">
      <c r="A149" s="9" t="s">
        <v>336</v>
      </c>
      <c r="B149" s="9" t="s">
        <v>342</v>
      </c>
      <c r="C149" s="9" t="s">
        <v>22</v>
      </c>
      <c r="D149" s="10">
        <v>45910</v>
      </c>
      <c r="E149" s="9" t="s">
        <v>23</v>
      </c>
      <c r="F149" s="9" t="s">
        <v>42</v>
      </c>
      <c r="G149" s="9" t="s">
        <v>203</v>
      </c>
      <c r="H149" s="9" t="s">
        <v>204</v>
      </c>
      <c r="I149" s="9" t="s">
        <v>27</v>
      </c>
      <c r="J149" s="9">
        <v>1</v>
      </c>
      <c r="K149" s="9">
        <v>40</v>
      </c>
      <c r="L149" s="13">
        <f t="shared" si="11"/>
        <v>0.4</v>
      </c>
      <c r="M149" s="9" t="s">
        <v>28</v>
      </c>
      <c r="N149" s="9" t="s">
        <v>29</v>
      </c>
      <c r="O149" s="30" t="s">
        <v>340</v>
      </c>
      <c r="P149" s="30" t="s">
        <v>341</v>
      </c>
      <c r="Q149" s="9"/>
      <c r="R149" s="9"/>
      <c r="S149" s="9"/>
      <c r="T149" s="9" t="s">
        <v>32</v>
      </c>
      <c r="U149" s="9" t="s">
        <v>33</v>
      </c>
    </row>
    <row r="150" spans="1:21" ht="15.6" x14ac:dyDescent="0.3">
      <c r="A150" s="9" t="s">
        <v>343</v>
      </c>
      <c r="B150" s="9" t="s">
        <v>344</v>
      </c>
      <c r="C150" s="9" t="s">
        <v>22</v>
      </c>
      <c r="D150" s="10">
        <v>45910</v>
      </c>
      <c r="E150" s="9" t="s">
        <v>23</v>
      </c>
      <c r="F150" s="9" t="s">
        <v>42</v>
      </c>
      <c r="G150" s="9" t="s">
        <v>318</v>
      </c>
      <c r="H150" s="9" t="s">
        <v>319</v>
      </c>
      <c r="I150" s="9" t="s">
        <v>27</v>
      </c>
      <c r="J150" s="9">
        <v>1</v>
      </c>
      <c r="K150" s="9">
        <v>95</v>
      </c>
      <c r="L150" s="13">
        <f t="shared" si="11"/>
        <v>0.95</v>
      </c>
      <c r="M150" s="9" t="s">
        <v>28</v>
      </c>
      <c r="N150" s="9" t="s">
        <v>29</v>
      </c>
      <c r="O150" s="30" t="s">
        <v>345</v>
      </c>
      <c r="P150" s="30" t="s">
        <v>346</v>
      </c>
      <c r="Q150" s="9"/>
      <c r="R150" s="9"/>
      <c r="S150" s="9"/>
      <c r="T150" s="9" t="s">
        <v>32</v>
      </c>
      <c r="U150" s="9" t="s">
        <v>33</v>
      </c>
    </row>
    <row r="151" spans="1:21" ht="15.6" x14ac:dyDescent="0.3">
      <c r="A151" s="9" t="s">
        <v>343</v>
      </c>
      <c r="B151" s="9" t="s">
        <v>347</v>
      </c>
      <c r="C151" s="9" t="s">
        <v>22</v>
      </c>
      <c r="D151" s="10">
        <v>45910</v>
      </c>
      <c r="E151" s="9" t="s">
        <v>23</v>
      </c>
      <c r="F151" s="9" t="s">
        <v>36</v>
      </c>
      <c r="G151" s="9" t="s">
        <v>101</v>
      </c>
      <c r="H151" s="9" t="s">
        <v>102</v>
      </c>
      <c r="I151" s="9" t="s">
        <v>27</v>
      </c>
      <c r="J151" s="9">
        <v>1</v>
      </c>
      <c r="K151" s="9">
        <v>25</v>
      </c>
      <c r="L151" s="13">
        <f t="shared" si="11"/>
        <v>0.25</v>
      </c>
      <c r="M151" s="9" t="s">
        <v>28</v>
      </c>
      <c r="N151" s="9" t="s">
        <v>29</v>
      </c>
      <c r="O151" s="30" t="s">
        <v>345</v>
      </c>
      <c r="P151" s="30" t="s">
        <v>346</v>
      </c>
      <c r="Q151" s="9"/>
      <c r="R151" s="9"/>
      <c r="S151" s="9"/>
      <c r="T151" s="9" t="s">
        <v>32</v>
      </c>
      <c r="U151" s="9" t="s">
        <v>33</v>
      </c>
    </row>
    <row r="152" spans="1:21" ht="15.6" x14ac:dyDescent="0.3">
      <c r="A152" s="9" t="s">
        <v>348</v>
      </c>
      <c r="B152" s="9" t="s">
        <v>349</v>
      </c>
      <c r="C152" s="9" t="s">
        <v>22</v>
      </c>
      <c r="D152" s="10">
        <v>45910</v>
      </c>
      <c r="E152" s="9" t="s">
        <v>23</v>
      </c>
      <c r="F152" s="9" t="s">
        <v>42</v>
      </c>
      <c r="G152" s="9" t="s">
        <v>318</v>
      </c>
      <c r="H152" s="9" t="s">
        <v>319</v>
      </c>
      <c r="I152" s="9" t="s">
        <v>27</v>
      </c>
      <c r="J152" s="9">
        <v>1</v>
      </c>
      <c r="K152" s="9">
        <v>90</v>
      </c>
      <c r="L152" s="13">
        <f t="shared" si="11"/>
        <v>0.9</v>
      </c>
      <c r="M152" s="9" t="s">
        <v>28</v>
      </c>
      <c r="N152" s="9" t="s">
        <v>29</v>
      </c>
      <c r="O152" s="30" t="s">
        <v>350</v>
      </c>
      <c r="P152" s="30" t="s">
        <v>351</v>
      </c>
      <c r="Q152" s="9"/>
      <c r="R152" s="9"/>
      <c r="S152" s="9"/>
      <c r="T152" s="9" t="s">
        <v>32</v>
      </c>
      <c r="U152" s="9" t="s">
        <v>33</v>
      </c>
    </row>
    <row r="153" spans="1:21" ht="15.6" x14ac:dyDescent="0.3">
      <c r="A153" s="9" t="s">
        <v>348</v>
      </c>
      <c r="B153" s="9" t="s">
        <v>352</v>
      </c>
      <c r="C153" s="9" t="s">
        <v>22</v>
      </c>
      <c r="D153" s="10">
        <v>45910</v>
      </c>
      <c r="E153" s="9" t="s">
        <v>23</v>
      </c>
      <c r="F153" s="9" t="s">
        <v>36</v>
      </c>
      <c r="G153" s="9" t="s">
        <v>101</v>
      </c>
      <c r="H153" s="9" t="s">
        <v>102</v>
      </c>
      <c r="I153" s="9" t="s">
        <v>27</v>
      </c>
      <c r="J153" s="9">
        <v>1</v>
      </c>
      <c r="K153" s="9">
        <v>15</v>
      </c>
      <c r="L153" s="13">
        <f t="shared" si="11"/>
        <v>0.15</v>
      </c>
      <c r="M153" s="9" t="s">
        <v>28</v>
      </c>
      <c r="N153" s="9" t="s">
        <v>29</v>
      </c>
      <c r="O153" s="30" t="s">
        <v>350</v>
      </c>
      <c r="P153" s="30" t="s">
        <v>351</v>
      </c>
      <c r="Q153" s="9"/>
      <c r="R153" s="9"/>
      <c r="S153" s="9"/>
      <c r="T153" s="9" t="s">
        <v>32</v>
      </c>
      <c r="U153" s="9" t="s">
        <v>33</v>
      </c>
    </row>
    <row r="154" spans="1:21" ht="15.6" x14ac:dyDescent="0.3">
      <c r="A154" s="9" t="s">
        <v>348</v>
      </c>
      <c r="B154" s="9" t="s">
        <v>353</v>
      </c>
      <c r="C154" s="9" t="s">
        <v>22</v>
      </c>
      <c r="D154" s="10">
        <v>45910</v>
      </c>
      <c r="E154" s="9" t="s">
        <v>23</v>
      </c>
      <c r="F154" s="9" t="s">
        <v>42</v>
      </c>
      <c r="G154" s="9" t="s">
        <v>261</v>
      </c>
      <c r="H154" s="9" t="s">
        <v>321</v>
      </c>
      <c r="I154" s="9" t="s">
        <v>27</v>
      </c>
      <c r="J154" s="9">
        <v>1</v>
      </c>
      <c r="K154" s="9">
        <v>20</v>
      </c>
      <c r="L154" s="13">
        <f t="shared" si="11"/>
        <v>0.2</v>
      </c>
      <c r="M154" s="9" t="s">
        <v>28</v>
      </c>
      <c r="N154" s="9" t="s">
        <v>29</v>
      </c>
      <c r="O154" s="30" t="s">
        <v>350</v>
      </c>
      <c r="P154" s="30" t="s">
        <v>351</v>
      </c>
      <c r="Q154" s="9"/>
      <c r="R154" s="9"/>
      <c r="S154" s="9"/>
      <c r="T154" s="9" t="s">
        <v>32</v>
      </c>
      <c r="U154" s="9" t="s">
        <v>33</v>
      </c>
    </row>
    <row r="155" spans="1:21" ht="15.6" x14ac:dyDescent="0.3">
      <c r="A155" s="9" t="s">
        <v>348</v>
      </c>
      <c r="B155" s="9" t="s">
        <v>354</v>
      </c>
      <c r="C155" s="9" t="s">
        <v>22</v>
      </c>
      <c r="D155" s="10">
        <v>45910</v>
      </c>
      <c r="E155" s="9" t="s">
        <v>23</v>
      </c>
      <c r="F155" s="9" t="s">
        <v>42</v>
      </c>
      <c r="G155" s="9" t="s">
        <v>171</v>
      </c>
      <c r="H155" s="9" t="s">
        <v>355</v>
      </c>
      <c r="I155" s="9" t="s">
        <v>27</v>
      </c>
      <c r="J155" s="9">
        <v>1</v>
      </c>
      <c r="K155" s="9">
        <v>15</v>
      </c>
      <c r="L155" s="13">
        <f t="shared" si="11"/>
        <v>0.15</v>
      </c>
      <c r="M155" s="9" t="s">
        <v>28</v>
      </c>
      <c r="N155" s="9" t="s">
        <v>29</v>
      </c>
      <c r="O155" s="30" t="s">
        <v>350</v>
      </c>
      <c r="P155" s="30" t="s">
        <v>351</v>
      </c>
      <c r="Q155" s="9"/>
      <c r="R155" s="9"/>
      <c r="S155" s="9"/>
      <c r="T155" s="9" t="s">
        <v>32</v>
      </c>
      <c r="U155" s="9" t="s">
        <v>33</v>
      </c>
    </row>
    <row r="156" spans="1:21" ht="15.6" x14ac:dyDescent="0.3">
      <c r="A156" s="9" t="s">
        <v>356</v>
      </c>
      <c r="B156" s="9" t="s">
        <v>357</v>
      </c>
      <c r="C156" s="9" t="s">
        <v>22</v>
      </c>
      <c r="D156" s="10">
        <v>45910</v>
      </c>
      <c r="E156" s="9" t="s">
        <v>23</v>
      </c>
      <c r="F156" s="9" t="s">
        <v>42</v>
      </c>
      <c r="G156" s="9" t="s">
        <v>358</v>
      </c>
      <c r="H156" s="9" t="s">
        <v>359</v>
      </c>
      <c r="I156" s="9" t="s">
        <v>309</v>
      </c>
      <c r="J156" s="9">
        <v>1</v>
      </c>
      <c r="K156" s="9">
        <v>20</v>
      </c>
      <c r="L156" s="13">
        <f t="shared" si="11"/>
        <v>0.2</v>
      </c>
      <c r="M156" s="9" t="s">
        <v>28</v>
      </c>
      <c r="N156" s="9" t="s">
        <v>29</v>
      </c>
      <c r="O156" s="30" t="s">
        <v>360</v>
      </c>
      <c r="P156" s="30" t="s">
        <v>361</v>
      </c>
      <c r="Q156" s="9"/>
      <c r="R156" s="9"/>
      <c r="S156" s="9"/>
      <c r="T156" s="9" t="s">
        <v>32</v>
      </c>
      <c r="U156" s="9" t="s">
        <v>33</v>
      </c>
    </row>
    <row r="157" spans="1:21" ht="15.6" x14ac:dyDescent="0.3">
      <c r="A157" s="9" t="s">
        <v>356</v>
      </c>
      <c r="B157" s="9" t="s">
        <v>362</v>
      </c>
      <c r="C157" s="9" t="s">
        <v>22</v>
      </c>
      <c r="D157" s="10">
        <v>45910</v>
      </c>
      <c r="E157" s="9" t="s">
        <v>23</v>
      </c>
      <c r="F157" s="9" t="s">
        <v>42</v>
      </c>
      <c r="G157" s="9" t="s">
        <v>203</v>
      </c>
      <c r="H157" s="9" t="s">
        <v>204</v>
      </c>
      <c r="I157" s="9" t="s">
        <v>27</v>
      </c>
      <c r="J157" s="9">
        <v>1</v>
      </c>
      <c r="K157" s="9">
        <v>30</v>
      </c>
      <c r="L157" s="13">
        <f t="shared" si="11"/>
        <v>0.3</v>
      </c>
      <c r="M157" s="9" t="s">
        <v>28</v>
      </c>
      <c r="N157" s="9" t="s">
        <v>29</v>
      </c>
      <c r="O157" s="30" t="s">
        <v>360</v>
      </c>
      <c r="P157" s="30" t="s">
        <v>361</v>
      </c>
      <c r="Q157" s="9"/>
      <c r="R157" s="9"/>
      <c r="S157" s="9"/>
      <c r="T157" s="9" t="s">
        <v>32</v>
      </c>
      <c r="U157" s="9" t="s">
        <v>33</v>
      </c>
    </row>
    <row r="158" spans="1:21" ht="15.6" x14ac:dyDescent="0.3">
      <c r="A158" s="9" t="s">
        <v>356</v>
      </c>
      <c r="B158" s="9" t="s">
        <v>363</v>
      </c>
      <c r="C158" s="9" t="s">
        <v>22</v>
      </c>
      <c r="D158" s="10">
        <v>45910</v>
      </c>
      <c r="E158" s="9" t="s">
        <v>23</v>
      </c>
      <c r="F158" s="9" t="s">
        <v>42</v>
      </c>
      <c r="G158" s="9" t="s">
        <v>261</v>
      </c>
      <c r="H158" s="9" t="s">
        <v>321</v>
      </c>
      <c r="I158" s="9" t="s">
        <v>27</v>
      </c>
      <c r="J158" s="9">
        <v>1</v>
      </c>
      <c r="K158" s="9">
        <v>20</v>
      </c>
      <c r="L158" s="13">
        <f t="shared" si="11"/>
        <v>0.2</v>
      </c>
      <c r="M158" s="9" t="s">
        <v>28</v>
      </c>
      <c r="N158" s="9" t="s">
        <v>29</v>
      </c>
      <c r="O158" s="30" t="s">
        <v>360</v>
      </c>
      <c r="P158" s="30" t="s">
        <v>361</v>
      </c>
      <c r="Q158" s="9"/>
      <c r="R158" s="9"/>
      <c r="S158" s="9"/>
      <c r="T158" s="9" t="s">
        <v>32</v>
      </c>
      <c r="U158" s="9" t="s">
        <v>33</v>
      </c>
    </row>
    <row r="159" spans="1:21" ht="15.6" x14ac:dyDescent="0.3">
      <c r="A159" s="9" t="s">
        <v>364</v>
      </c>
      <c r="B159" s="9" t="s">
        <v>365</v>
      </c>
      <c r="C159" s="9" t="s">
        <v>22</v>
      </c>
      <c r="D159" s="10">
        <v>45910</v>
      </c>
      <c r="E159" s="9" t="s">
        <v>23</v>
      </c>
      <c r="F159" s="9" t="s">
        <v>36</v>
      </c>
      <c r="G159" s="9" t="s">
        <v>101</v>
      </c>
      <c r="H159" s="9" t="s">
        <v>102</v>
      </c>
      <c r="I159" s="9" t="s">
        <v>27</v>
      </c>
      <c r="J159" s="9">
        <v>1</v>
      </c>
      <c r="K159" s="9">
        <v>50</v>
      </c>
      <c r="L159" s="13">
        <f t="shared" si="11"/>
        <v>0.5</v>
      </c>
      <c r="M159" s="9" t="s">
        <v>28</v>
      </c>
      <c r="N159" s="9" t="s">
        <v>29</v>
      </c>
      <c r="O159" s="30" t="s">
        <v>366</v>
      </c>
      <c r="P159" s="30" t="s">
        <v>367</v>
      </c>
      <c r="Q159" s="9"/>
      <c r="R159" s="9"/>
      <c r="S159" s="9"/>
      <c r="T159" s="9" t="s">
        <v>32</v>
      </c>
      <c r="U159" s="9" t="s">
        <v>33</v>
      </c>
    </row>
    <row r="160" spans="1:21" ht="15.6" x14ac:dyDescent="0.3">
      <c r="A160" s="9" t="s">
        <v>364</v>
      </c>
      <c r="B160" s="9" t="s">
        <v>368</v>
      </c>
      <c r="C160" s="9" t="s">
        <v>22</v>
      </c>
      <c r="D160" s="10">
        <v>45910</v>
      </c>
      <c r="E160" s="9" t="s">
        <v>23</v>
      </c>
      <c r="F160" s="9" t="s">
        <v>42</v>
      </c>
      <c r="G160" s="9" t="s">
        <v>318</v>
      </c>
      <c r="H160" s="9" t="s">
        <v>319</v>
      </c>
      <c r="I160" s="9" t="s">
        <v>27</v>
      </c>
      <c r="J160" s="9">
        <v>1</v>
      </c>
      <c r="K160" s="9">
        <v>80</v>
      </c>
      <c r="L160" s="13">
        <f t="shared" si="11"/>
        <v>0.8</v>
      </c>
      <c r="M160" s="9" t="s">
        <v>28</v>
      </c>
      <c r="N160" s="9" t="s">
        <v>29</v>
      </c>
      <c r="O160" s="30" t="s">
        <v>366</v>
      </c>
      <c r="P160" s="30" t="s">
        <v>367</v>
      </c>
      <c r="Q160" s="9"/>
      <c r="R160" s="9"/>
      <c r="S160" s="9"/>
      <c r="T160" s="9" t="s">
        <v>32</v>
      </c>
      <c r="U160" s="9" t="s">
        <v>33</v>
      </c>
    </row>
    <row r="161" spans="1:21" ht="15.6" x14ac:dyDescent="0.3">
      <c r="A161" s="9" t="s">
        <v>364</v>
      </c>
      <c r="B161" s="9" t="s">
        <v>369</v>
      </c>
      <c r="C161" s="9" t="s">
        <v>22</v>
      </c>
      <c r="D161" s="10">
        <v>45910</v>
      </c>
      <c r="E161" s="9" t="s">
        <v>23</v>
      </c>
      <c r="F161" s="9" t="s">
        <v>42</v>
      </c>
      <c r="G161" s="9" t="s">
        <v>358</v>
      </c>
      <c r="H161" s="9" t="s">
        <v>359</v>
      </c>
      <c r="I161" s="9" t="s">
        <v>309</v>
      </c>
      <c r="J161" s="9">
        <v>1</v>
      </c>
      <c r="K161" s="9">
        <v>5</v>
      </c>
      <c r="L161" s="13">
        <f t="shared" si="11"/>
        <v>0.05</v>
      </c>
      <c r="M161" s="9" t="s">
        <v>28</v>
      </c>
      <c r="N161" s="9" t="s">
        <v>29</v>
      </c>
      <c r="O161" s="30" t="s">
        <v>366</v>
      </c>
      <c r="P161" s="30" t="s">
        <v>367</v>
      </c>
      <c r="Q161" s="9"/>
      <c r="R161" s="9"/>
      <c r="S161" s="9"/>
      <c r="T161" s="9" t="s">
        <v>32</v>
      </c>
      <c r="U161" s="9" t="s">
        <v>33</v>
      </c>
    </row>
    <row r="162" spans="1:21" ht="15.6" x14ac:dyDescent="0.3">
      <c r="A162" s="9" t="s">
        <v>370</v>
      </c>
      <c r="B162" s="9" t="s">
        <v>371</v>
      </c>
      <c r="C162" s="9" t="s">
        <v>22</v>
      </c>
      <c r="D162" s="10">
        <v>45910</v>
      </c>
      <c r="E162" s="9" t="s">
        <v>23</v>
      </c>
      <c r="F162" s="9" t="s">
        <v>24</v>
      </c>
      <c r="G162" s="9" t="s">
        <v>25</v>
      </c>
      <c r="H162" s="9" t="s">
        <v>26</v>
      </c>
      <c r="I162" s="9" t="s">
        <v>27</v>
      </c>
      <c r="J162" s="9">
        <v>1</v>
      </c>
      <c r="K162" s="9">
        <v>15</v>
      </c>
      <c r="L162" s="13">
        <f t="shared" si="11"/>
        <v>0.15</v>
      </c>
      <c r="M162" s="9" t="s">
        <v>28</v>
      </c>
      <c r="N162" s="9" t="s">
        <v>29</v>
      </c>
      <c r="O162" s="30" t="s">
        <v>372</v>
      </c>
      <c r="P162" s="30" t="s">
        <v>373</v>
      </c>
      <c r="Q162" s="9"/>
      <c r="R162" s="9"/>
      <c r="S162" s="9"/>
      <c r="T162" s="9" t="s">
        <v>32</v>
      </c>
      <c r="U162" s="9" t="s">
        <v>33</v>
      </c>
    </row>
    <row r="163" spans="1:21" ht="15.6" x14ac:dyDescent="0.3">
      <c r="A163" s="9" t="s">
        <v>370</v>
      </c>
      <c r="B163" s="9" t="s">
        <v>374</v>
      </c>
      <c r="C163" s="9" t="s">
        <v>22</v>
      </c>
      <c r="D163" s="10">
        <v>45910</v>
      </c>
      <c r="E163" s="9" t="s">
        <v>23</v>
      </c>
      <c r="F163" s="9" t="s">
        <v>42</v>
      </c>
      <c r="G163" s="9" t="s">
        <v>318</v>
      </c>
      <c r="H163" s="9" t="s">
        <v>319</v>
      </c>
      <c r="I163" s="9" t="s">
        <v>27</v>
      </c>
      <c r="J163" s="9">
        <v>1</v>
      </c>
      <c r="K163" s="9">
        <v>100</v>
      </c>
      <c r="L163" s="13">
        <f t="shared" si="11"/>
        <v>1</v>
      </c>
      <c r="M163" s="9" t="s">
        <v>28</v>
      </c>
      <c r="N163" s="9" t="s">
        <v>29</v>
      </c>
      <c r="O163" s="30" t="s">
        <v>372</v>
      </c>
      <c r="P163" s="30" t="s">
        <v>373</v>
      </c>
      <c r="Q163" s="9"/>
      <c r="R163" s="9"/>
      <c r="S163" s="9"/>
      <c r="T163" s="9" t="s">
        <v>32</v>
      </c>
      <c r="U163" s="9" t="s">
        <v>33</v>
      </c>
    </row>
    <row r="164" spans="1:21" ht="15.6" x14ac:dyDescent="0.3">
      <c r="A164" s="9" t="s">
        <v>375</v>
      </c>
      <c r="B164" s="9" t="s">
        <v>376</v>
      </c>
      <c r="C164" s="9" t="s">
        <v>22</v>
      </c>
      <c r="D164" s="10">
        <v>45910</v>
      </c>
      <c r="E164" s="9" t="s">
        <v>23</v>
      </c>
      <c r="F164" s="9" t="s">
        <v>377</v>
      </c>
      <c r="G164" s="9" t="s">
        <v>378</v>
      </c>
      <c r="H164" s="9" t="s">
        <v>379</v>
      </c>
      <c r="I164" s="9" t="s">
        <v>27</v>
      </c>
      <c r="J164" s="9">
        <v>1</v>
      </c>
      <c r="K164" s="9">
        <v>10</v>
      </c>
      <c r="L164" s="13">
        <f t="shared" si="11"/>
        <v>0.1</v>
      </c>
      <c r="M164" s="9" t="s">
        <v>28</v>
      </c>
      <c r="N164" s="9" t="s">
        <v>29</v>
      </c>
      <c r="O164" s="30" t="s">
        <v>380</v>
      </c>
      <c r="P164" s="30" t="s">
        <v>381</v>
      </c>
      <c r="Q164" s="9"/>
      <c r="R164" s="9"/>
      <c r="S164" s="9"/>
      <c r="T164" s="9" t="s">
        <v>32</v>
      </c>
      <c r="U164" s="9" t="s">
        <v>33</v>
      </c>
    </row>
    <row r="165" spans="1:21" ht="15.6" x14ac:dyDescent="0.3">
      <c r="A165" s="9" t="s">
        <v>375</v>
      </c>
      <c r="B165" s="9" t="s">
        <v>382</v>
      </c>
      <c r="C165" s="9" t="s">
        <v>22</v>
      </c>
      <c r="D165" s="10">
        <v>45910</v>
      </c>
      <c r="E165" s="9" t="s">
        <v>23</v>
      </c>
      <c r="F165" s="9" t="s">
        <v>383</v>
      </c>
      <c r="G165" s="9" t="s">
        <v>384</v>
      </c>
      <c r="H165" s="9" t="s">
        <v>385</v>
      </c>
      <c r="I165" s="9" t="s">
        <v>309</v>
      </c>
      <c r="J165" s="9">
        <v>1</v>
      </c>
      <c r="K165" s="9">
        <v>5</v>
      </c>
      <c r="L165" s="13">
        <f t="shared" si="11"/>
        <v>0.05</v>
      </c>
      <c r="M165" s="9" t="s">
        <v>28</v>
      </c>
      <c r="N165" s="9" t="s">
        <v>29</v>
      </c>
      <c r="O165" s="30" t="s">
        <v>380</v>
      </c>
      <c r="P165" s="30" t="s">
        <v>381</v>
      </c>
      <c r="Q165" s="9"/>
      <c r="R165" s="9"/>
      <c r="S165" s="9"/>
      <c r="T165" s="9" t="s">
        <v>32</v>
      </c>
      <c r="U165" s="9" t="s">
        <v>33</v>
      </c>
    </row>
    <row r="166" spans="1:21" ht="15.6" x14ac:dyDescent="0.3">
      <c r="A166" s="9" t="s">
        <v>375</v>
      </c>
      <c r="B166" s="9" t="s">
        <v>386</v>
      </c>
      <c r="C166" s="9" t="s">
        <v>22</v>
      </c>
      <c r="D166" s="10">
        <v>45910</v>
      </c>
      <c r="E166" s="9" t="s">
        <v>23</v>
      </c>
      <c r="F166" s="9" t="s">
        <v>42</v>
      </c>
      <c r="G166" s="9" t="s">
        <v>358</v>
      </c>
      <c r="H166" s="9" t="s">
        <v>359</v>
      </c>
      <c r="I166" s="9" t="s">
        <v>309</v>
      </c>
      <c r="J166" s="9">
        <v>1</v>
      </c>
      <c r="K166" s="9">
        <v>60</v>
      </c>
      <c r="L166" s="13">
        <f t="shared" si="11"/>
        <v>0.6</v>
      </c>
      <c r="M166" s="9" t="s">
        <v>28</v>
      </c>
      <c r="N166" s="9" t="s">
        <v>29</v>
      </c>
      <c r="O166" s="30" t="s">
        <v>380</v>
      </c>
      <c r="P166" s="30" t="s">
        <v>381</v>
      </c>
      <c r="Q166" s="9"/>
      <c r="R166" s="9"/>
      <c r="S166" s="9"/>
      <c r="T166" s="9" t="s">
        <v>32</v>
      </c>
      <c r="U166" s="9" t="s">
        <v>33</v>
      </c>
    </row>
    <row r="167" spans="1:21" ht="15.6" x14ac:dyDescent="0.3">
      <c r="A167" s="9" t="s">
        <v>375</v>
      </c>
      <c r="B167" s="9" t="s">
        <v>387</v>
      </c>
      <c r="C167" s="9" t="s">
        <v>22</v>
      </c>
      <c r="D167" s="10">
        <v>45910</v>
      </c>
      <c r="E167" s="9" t="s">
        <v>23</v>
      </c>
      <c r="F167" s="9" t="s">
        <v>42</v>
      </c>
      <c r="G167" s="9" t="s">
        <v>171</v>
      </c>
      <c r="H167" s="9" t="s">
        <v>355</v>
      </c>
      <c r="I167" s="9" t="s">
        <v>27</v>
      </c>
      <c r="J167" s="9">
        <v>1</v>
      </c>
      <c r="K167" s="9">
        <v>3</v>
      </c>
      <c r="L167" s="13">
        <f t="shared" si="11"/>
        <v>0.03</v>
      </c>
      <c r="M167" s="9" t="s">
        <v>28</v>
      </c>
      <c r="N167" s="9" t="s">
        <v>29</v>
      </c>
      <c r="O167" s="30" t="s">
        <v>380</v>
      </c>
      <c r="P167" s="30" t="s">
        <v>381</v>
      </c>
      <c r="Q167" s="9"/>
      <c r="R167" s="9"/>
      <c r="S167" s="9"/>
      <c r="T167" s="9" t="s">
        <v>32</v>
      </c>
      <c r="U167" s="9" t="s">
        <v>33</v>
      </c>
    </row>
    <row r="168" spans="1:21" ht="15.6" x14ac:dyDescent="0.3">
      <c r="A168" s="9" t="s">
        <v>388</v>
      </c>
      <c r="B168" s="9" t="s">
        <v>389</v>
      </c>
      <c r="C168" s="9" t="s">
        <v>22</v>
      </c>
      <c r="D168" s="10">
        <v>45911</v>
      </c>
      <c r="E168" s="9" t="s">
        <v>23</v>
      </c>
      <c r="F168" s="9" t="s">
        <v>42</v>
      </c>
      <c r="G168" s="9" t="s">
        <v>318</v>
      </c>
      <c r="H168" s="9" t="s">
        <v>319</v>
      </c>
      <c r="I168" s="9" t="s">
        <v>27</v>
      </c>
      <c r="J168" s="9">
        <v>1</v>
      </c>
      <c r="K168" s="9">
        <v>100</v>
      </c>
      <c r="L168" s="13">
        <f t="shared" si="11"/>
        <v>1</v>
      </c>
      <c r="M168" s="9" t="s">
        <v>28</v>
      </c>
      <c r="N168" s="9" t="s">
        <v>29</v>
      </c>
      <c r="O168" s="30" t="s">
        <v>390</v>
      </c>
      <c r="P168" s="30" t="s">
        <v>391</v>
      </c>
      <c r="Q168" s="9"/>
      <c r="R168" s="9"/>
      <c r="S168" s="9"/>
      <c r="T168" s="9" t="s">
        <v>32</v>
      </c>
      <c r="U168" s="9" t="s">
        <v>33</v>
      </c>
    </row>
    <row r="169" spans="1:21" ht="15.6" x14ac:dyDescent="0.3">
      <c r="A169" s="9" t="s">
        <v>388</v>
      </c>
      <c r="B169" s="9" t="s">
        <v>392</v>
      </c>
      <c r="C169" s="9" t="s">
        <v>22</v>
      </c>
      <c r="D169" s="10">
        <v>45911</v>
      </c>
      <c r="E169" s="9" t="s">
        <v>23</v>
      </c>
      <c r="F169" s="9" t="s">
        <v>36</v>
      </c>
      <c r="G169" s="9" t="s">
        <v>101</v>
      </c>
      <c r="H169" s="9" t="s">
        <v>102</v>
      </c>
      <c r="I169" s="9" t="s">
        <v>27</v>
      </c>
      <c r="J169" s="9">
        <v>1</v>
      </c>
      <c r="K169" s="9">
        <v>30</v>
      </c>
      <c r="L169" s="13">
        <f t="shared" si="11"/>
        <v>0.3</v>
      </c>
      <c r="M169" s="9" t="s">
        <v>28</v>
      </c>
      <c r="N169" s="9" t="s">
        <v>29</v>
      </c>
      <c r="O169" s="30" t="s">
        <v>390</v>
      </c>
      <c r="P169" s="30" t="s">
        <v>391</v>
      </c>
      <c r="Q169" s="9"/>
      <c r="R169" s="9"/>
      <c r="S169" s="9"/>
      <c r="T169" s="9" t="s">
        <v>32</v>
      </c>
      <c r="U169" s="9" t="s">
        <v>33</v>
      </c>
    </row>
    <row r="170" spans="1:21" ht="15.6" x14ac:dyDescent="0.3">
      <c r="A170" s="9" t="s">
        <v>388</v>
      </c>
      <c r="B170" s="9" t="s">
        <v>393</v>
      </c>
      <c r="C170" s="9" t="s">
        <v>22</v>
      </c>
      <c r="D170" s="10">
        <v>45911</v>
      </c>
      <c r="E170" s="9" t="s">
        <v>23</v>
      </c>
      <c r="F170" s="9" t="s">
        <v>47</v>
      </c>
      <c r="G170" s="9" t="s">
        <v>394</v>
      </c>
      <c r="H170" s="9" t="s">
        <v>395</v>
      </c>
      <c r="I170" s="9" t="s">
        <v>27</v>
      </c>
      <c r="J170" s="9">
        <v>1</v>
      </c>
      <c r="K170" s="9">
        <v>40</v>
      </c>
      <c r="L170" s="13">
        <f t="shared" si="11"/>
        <v>0.4</v>
      </c>
      <c r="M170" s="9" t="s">
        <v>28</v>
      </c>
      <c r="N170" s="9" t="s">
        <v>29</v>
      </c>
      <c r="O170" s="30" t="s">
        <v>390</v>
      </c>
      <c r="P170" s="30" t="s">
        <v>391</v>
      </c>
      <c r="Q170" s="9"/>
      <c r="R170" s="9"/>
      <c r="S170" s="9"/>
      <c r="T170" s="9" t="s">
        <v>32</v>
      </c>
      <c r="U170" s="9" t="s">
        <v>33</v>
      </c>
    </row>
    <row r="171" spans="1:21" ht="15.6" x14ac:dyDescent="0.3">
      <c r="A171" s="9" t="s">
        <v>388</v>
      </c>
      <c r="B171" s="9" t="s">
        <v>396</v>
      </c>
      <c r="C171" s="9" t="s">
        <v>22</v>
      </c>
      <c r="D171" s="10">
        <v>45911</v>
      </c>
      <c r="E171" s="9" t="s">
        <v>23</v>
      </c>
      <c r="F171" s="9" t="s">
        <v>42</v>
      </c>
      <c r="G171" s="9" t="s">
        <v>171</v>
      </c>
      <c r="H171" s="9" t="s">
        <v>355</v>
      </c>
      <c r="I171" s="9" t="s">
        <v>27</v>
      </c>
      <c r="J171" s="9">
        <v>1</v>
      </c>
      <c r="K171" s="9">
        <v>5</v>
      </c>
      <c r="L171" s="13">
        <f t="shared" si="11"/>
        <v>0.05</v>
      </c>
      <c r="M171" s="9" t="s">
        <v>28</v>
      </c>
      <c r="N171" s="9" t="s">
        <v>29</v>
      </c>
      <c r="O171" s="30" t="s">
        <v>390</v>
      </c>
      <c r="P171" s="30" t="s">
        <v>391</v>
      </c>
      <c r="Q171" s="9"/>
      <c r="R171" s="9"/>
      <c r="S171" s="9"/>
      <c r="T171" s="9" t="s">
        <v>32</v>
      </c>
      <c r="U171" s="9" t="s">
        <v>33</v>
      </c>
    </row>
    <row r="172" spans="1:21" ht="15.6" x14ac:dyDescent="0.3">
      <c r="A172" s="9" t="s">
        <v>397</v>
      </c>
      <c r="B172" s="9" t="s">
        <v>398</v>
      </c>
      <c r="C172" s="9" t="s">
        <v>22</v>
      </c>
      <c r="D172" s="10">
        <v>45911</v>
      </c>
      <c r="E172" s="9" t="s">
        <v>23</v>
      </c>
      <c r="F172" s="9" t="s">
        <v>42</v>
      </c>
      <c r="G172" s="9" t="s">
        <v>318</v>
      </c>
      <c r="H172" s="9" t="s">
        <v>319</v>
      </c>
      <c r="I172" s="9" t="s">
        <v>27</v>
      </c>
      <c r="J172" s="9">
        <v>1</v>
      </c>
      <c r="K172" s="9">
        <v>100</v>
      </c>
      <c r="L172" s="13">
        <f t="shared" si="11"/>
        <v>1</v>
      </c>
      <c r="M172" s="9" t="s">
        <v>28</v>
      </c>
      <c r="N172" s="9" t="s">
        <v>29</v>
      </c>
      <c r="O172" s="30" t="s">
        <v>399</v>
      </c>
      <c r="P172" s="30" t="s">
        <v>400</v>
      </c>
      <c r="Q172" s="9"/>
      <c r="R172" s="9"/>
      <c r="S172" s="9"/>
      <c r="T172" s="9" t="s">
        <v>32</v>
      </c>
      <c r="U172" s="9" t="s">
        <v>33</v>
      </c>
    </row>
    <row r="173" spans="1:21" ht="15.6" x14ac:dyDescent="0.3">
      <c r="A173" s="9" t="s">
        <v>397</v>
      </c>
      <c r="B173" s="9" t="s">
        <v>401</v>
      </c>
      <c r="C173" s="9" t="s">
        <v>22</v>
      </c>
      <c r="D173" s="10">
        <v>45911</v>
      </c>
      <c r="E173" s="9" t="s">
        <v>23</v>
      </c>
      <c r="F173" s="9" t="s">
        <v>36</v>
      </c>
      <c r="G173" s="9" t="s">
        <v>101</v>
      </c>
      <c r="H173" s="9" t="s">
        <v>102</v>
      </c>
      <c r="I173" s="9" t="s">
        <v>27</v>
      </c>
      <c r="J173" s="9">
        <v>1</v>
      </c>
      <c r="K173" s="9">
        <v>5</v>
      </c>
      <c r="L173" s="13">
        <f t="shared" si="11"/>
        <v>0.05</v>
      </c>
      <c r="M173" s="9" t="s">
        <v>28</v>
      </c>
      <c r="N173" s="9" t="s">
        <v>29</v>
      </c>
      <c r="O173" s="30" t="s">
        <v>399</v>
      </c>
      <c r="P173" s="30" t="s">
        <v>400</v>
      </c>
      <c r="Q173" s="9"/>
      <c r="R173" s="9"/>
      <c r="S173" s="9"/>
      <c r="T173" s="9" t="s">
        <v>32</v>
      </c>
      <c r="U173" s="9" t="s">
        <v>33</v>
      </c>
    </row>
    <row r="174" spans="1:21" ht="15.6" x14ac:dyDescent="0.3">
      <c r="A174" s="9" t="s">
        <v>402</v>
      </c>
      <c r="B174" s="9" t="s">
        <v>403</v>
      </c>
      <c r="C174" s="9" t="s">
        <v>22</v>
      </c>
      <c r="D174" s="10">
        <v>45911</v>
      </c>
      <c r="E174" s="9" t="s">
        <v>23</v>
      </c>
      <c r="F174" s="9" t="s">
        <v>24</v>
      </c>
      <c r="G174" s="9" t="s">
        <v>25</v>
      </c>
      <c r="H174" s="9" t="s">
        <v>26</v>
      </c>
      <c r="I174" s="9" t="s">
        <v>27</v>
      </c>
      <c r="J174" s="9">
        <v>1</v>
      </c>
      <c r="K174" s="9">
        <v>80</v>
      </c>
      <c r="L174" s="13">
        <f t="shared" si="11"/>
        <v>0.8</v>
      </c>
      <c r="M174" s="9" t="s">
        <v>28</v>
      </c>
      <c r="N174" s="9" t="s">
        <v>29</v>
      </c>
      <c r="O174" s="30" t="s">
        <v>404</v>
      </c>
      <c r="P174" s="30" t="s">
        <v>405</v>
      </c>
      <c r="Q174" s="9"/>
      <c r="R174" s="9"/>
      <c r="S174" s="9"/>
      <c r="T174" s="9" t="s">
        <v>32</v>
      </c>
      <c r="U174" s="9" t="s">
        <v>33</v>
      </c>
    </row>
    <row r="175" spans="1:21" ht="15.6" x14ac:dyDescent="0.3">
      <c r="A175" s="9" t="s">
        <v>402</v>
      </c>
      <c r="B175" s="9" t="s">
        <v>406</v>
      </c>
      <c r="C175" s="9" t="s">
        <v>22</v>
      </c>
      <c r="D175" s="10">
        <v>45911</v>
      </c>
      <c r="E175" s="9" t="s">
        <v>23</v>
      </c>
      <c r="F175" s="9" t="s">
        <v>42</v>
      </c>
      <c r="G175" s="9" t="s">
        <v>318</v>
      </c>
      <c r="H175" s="9" t="s">
        <v>319</v>
      </c>
      <c r="I175" s="9" t="s">
        <v>27</v>
      </c>
      <c r="J175" s="9">
        <v>1</v>
      </c>
      <c r="K175" s="9">
        <v>100</v>
      </c>
      <c r="L175" s="13">
        <f t="shared" si="11"/>
        <v>1</v>
      </c>
      <c r="M175" s="9" t="s">
        <v>28</v>
      </c>
      <c r="N175" s="9" t="s">
        <v>29</v>
      </c>
      <c r="O175" s="30" t="s">
        <v>404</v>
      </c>
      <c r="P175" s="30" t="s">
        <v>405</v>
      </c>
      <c r="Q175" s="9"/>
      <c r="R175" s="9"/>
      <c r="S175" s="9"/>
      <c r="T175" s="9" t="s">
        <v>32</v>
      </c>
      <c r="U175" s="9" t="s">
        <v>33</v>
      </c>
    </row>
    <row r="176" spans="1:21" ht="15.6" x14ac:dyDescent="0.3">
      <c r="A176" s="9" t="s">
        <v>402</v>
      </c>
      <c r="B176" s="9" t="s">
        <v>407</v>
      </c>
      <c r="C176" s="9" t="s">
        <v>22</v>
      </c>
      <c r="D176" s="10">
        <v>45911</v>
      </c>
      <c r="E176" s="9" t="s">
        <v>23</v>
      </c>
      <c r="F176" s="9" t="s">
        <v>57</v>
      </c>
      <c r="G176" s="9" t="s">
        <v>408</v>
      </c>
      <c r="H176" s="9" t="s">
        <v>59</v>
      </c>
      <c r="I176" s="9" t="s">
        <v>27</v>
      </c>
      <c r="J176" s="9">
        <v>1</v>
      </c>
      <c r="K176" s="9">
        <v>20</v>
      </c>
      <c r="L176" s="13">
        <f t="shared" si="11"/>
        <v>0.2</v>
      </c>
      <c r="M176" s="9" t="s">
        <v>28</v>
      </c>
      <c r="N176" s="9" t="s">
        <v>29</v>
      </c>
      <c r="O176" s="30" t="s">
        <v>404</v>
      </c>
      <c r="P176" s="30" t="s">
        <v>405</v>
      </c>
      <c r="Q176" s="9"/>
      <c r="R176" s="9"/>
      <c r="S176" s="9"/>
      <c r="T176" s="9" t="s">
        <v>32</v>
      </c>
      <c r="U176" s="9" t="s">
        <v>33</v>
      </c>
    </row>
    <row r="177" spans="1:21" ht="15.6" x14ac:dyDescent="0.3">
      <c r="A177" s="9" t="s">
        <v>409</v>
      </c>
      <c r="B177" s="9" t="s">
        <v>410</v>
      </c>
      <c r="C177" s="9" t="s">
        <v>22</v>
      </c>
      <c r="D177" s="10">
        <v>45911</v>
      </c>
      <c r="E177" s="9" t="s">
        <v>23</v>
      </c>
      <c r="F177" s="9" t="s">
        <v>24</v>
      </c>
      <c r="G177" s="9" t="s">
        <v>25</v>
      </c>
      <c r="H177" s="9" t="s">
        <v>26</v>
      </c>
      <c r="I177" s="9" t="s">
        <v>27</v>
      </c>
      <c r="J177" s="9">
        <v>1</v>
      </c>
      <c r="K177" s="9">
        <v>15</v>
      </c>
      <c r="L177" s="13">
        <f t="shared" si="11"/>
        <v>0.15</v>
      </c>
      <c r="M177" s="9" t="s">
        <v>28</v>
      </c>
      <c r="N177" s="9" t="s">
        <v>29</v>
      </c>
      <c r="O177" s="30" t="s">
        <v>411</v>
      </c>
      <c r="P177" s="30" t="s">
        <v>412</v>
      </c>
      <c r="Q177" s="9"/>
      <c r="R177" s="9"/>
      <c r="S177" s="9"/>
      <c r="T177" s="9" t="s">
        <v>32</v>
      </c>
      <c r="U177" s="9" t="s">
        <v>33</v>
      </c>
    </row>
    <row r="178" spans="1:21" ht="15.6" x14ac:dyDescent="0.3">
      <c r="A178" s="9" t="s">
        <v>409</v>
      </c>
      <c r="B178" s="9" t="s">
        <v>413</v>
      </c>
      <c r="C178" s="9" t="s">
        <v>22</v>
      </c>
      <c r="D178" s="10">
        <v>45911</v>
      </c>
      <c r="E178" s="9" t="s">
        <v>23</v>
      </c>
      <c r="F178" s="9" t="s">
        <v>42</v>
      </c>
      <c r="G178" s="9" t="s">
        <v>318</v>
      </c>
      <c r="H178" s="9" t="s">
        <v>319</v>
      </c>
      <c r="I178" s="9" t="s">
        <v>27</v>
      </c>
      <c r="J178" s="9">
        <v>1</v>
      </c>
      <c r="K178" s="9">
        <v>80</v>
      </c>
      <c r="L178" s="13">
        <f t="shared" si="11"/>
        <v>0.8</v>
      </c>
      <c r="M178" s="9" t="s">
        <v>28</v>
      </c>
      <c r="N178" s="9" t="s">
        <v>29</v>
      </c>
      <c r="O178" s="30" t="s">
        <v>411</v>
      </c>
      <c r="P178" s="30" t="s">
        <v>412</v>
      </c>
      <c r="Q178" s="9"/>
      <c r="R178" s="9"/>
      <c r="S178" s="9"/>
      <c r="T178" s="9" t="s">
        <v>32</v>
      </c>
      <c r="U178" s="9" t="s">
        <v>33</v>
      </c>
    </row>
    <row r="179" spans="1:21" ht="15.6" x14ac:dyDescent="0.3">
      <c r="A179" s="9" t="s">
        <v>409</v>
      </c>
      <c r="B179" s="9" t="s">
        <v>414</v>
      </c>
      <c r="C179" s="9" t="s">
        <v>22</v>
      </c>
      <c r="D179" s="10">
        <v>45911</v>
      </c>
      <c r="E179" s="9" t="s">
        <v>23</v>
      </c>
      <c r="F179" s="9" t="s">
        <v>36</v>
      </c>
      <c r="G179" s="9" t="s">
        <v>101</v>
      </c>
      <c r="H179" s="9" t="s">
        <v>102</v>
      </c>
      <c r="I179" s="9" t="s">
        <v>27</v>
      </c>
      <c r="J179" s="9">
        <v>1</v>
      </c>
      <c r="K179" s="9">
        <v>5</v>
      </c>
      <c r="L179" s="13">
        <f t="shared" si="11"/>
        <v>0.05</v>
      </c>
      <c r="M179" s="9" t="s">
        <v>28</v>
      </c>
      <c r="N179" s="9" t="s">
        <v>29</v>
      </c>
      <c r="O179" s="30" t="s">
        <v>411</v>
      </c>
      <c r="P179" s="30" t="s">
        <v>412</v>
      </c>
      <c r="Q179" s="9"/>
      <c r="R179" s="9"/>
      <c r="S179" s="9"/>
      <c r="T179" s="9" t="s">
        <v>32</v>
      </c>
      <c r="U179" s="9" t="s">
        <v>33</v>
      </c>
    </row>
    <row r="180" spans="1:21" ht="15.6" x14ac:dyDescent="0.3">
      <c r="A180" s="9" t="s">
        <v>415</v>
      </c>
      <c r="B180" s="9" t="s">
        <v>416</v>
      </c>
      <c r="C180" s="9" t="s">
        <v>22</v>
      </c>
      <c r="D180" s="10">
        <v>45911</v>
      </c>
      <c r="E180" s="9" t="s">
        <v>23</v>
      </c>
      <c r="F180" s="9" t="s">
        <v>24</v>
      </c>
      <c r="G180" s="9" t="s">
        <v>25</v>
      </c>
      <c r="H180" s="9" t="s">
        <v>26</v>
      </c>
      <c r="I180" s="9" t="s">
        <v>27</v>
      </c>
      <c r="J180" s="9">
        <v>1</v>
      </c>
      <c r="K180" s="9">
        <v>25</v>
      </c>
      <c r="L180" s="13">
        <f t="shared" si="11"/>
        <v>0.25</v>
      </c>
      <c r="M180" s="9" t="s">
        <v>28</v>
      </c>
      <c r="N180" s="9" t="s">
        <v>29</v>
      </c>
      <c r="O180" s="30" t="s">
        <v>417</v>
      </c>
      <c r="P180" s="30" t="s">
        <v>418</v>
      </c>
      <c r="Q180" s="9"/>
      <c r="R180" s="9"/>
      <c r="S180" s="9"/>
      <c r="T180" s="9" t="s">
        <v>32</v>
      </c>
      <c r="U180" s="9" t="s">
        <v>33</v>
      </c>
    </row>
    <row r="181" spans="1:21" ht="15.6" x14ac:dyDescent="0.3">
      <c r="A181" s="9" t="s">
        <v>415</v>
      </c>
      <c r="B181" s="9" t="s">
        <v>419</v>
      </c>
      <c r="C181" s="9" t="s">
        <v>22</v>
      </c>
      <c r="D181" s="10">
        <v>45911</v>
      </c>
      <c r="E181" s="9" t="s">
        <v>23</v>
      </c>
      <c r="F181" s="9" t="s">
        <v>42</v>
      </c>
      <c r="G181" s="9" t="s">
        <v>318</v>
      </c>
      <c r="H181" s="9" t="s">
        <v>319</v>
      </c>
      <c r="I181" s="9" t="s">
        <v>27</v>
      </c>
      <c r="J181" s="9">
        <v>1</v>
      </c>
      <c r="K181" s="9">
        <v>90</v>
      </c>
      <c r="L181" s="13">
        <f t="shared" si="11"/>
        <v>0.9</v>
      </c>
      <c r="M181" s="9" t="s">
        <v>28</v>
      </c>
      <c r="N181" s="9" t="s">
        <v>29</v>
      </c>
      <c r="O181" s="30" t="s">
        <v>417</v>
      </c>
      <c r="P181" s="30" t="s">
        <v>418</v>
      </c>
      <c r="Q181" s="9"/>
      <c r="R181" s="9"/>
      <c r="S181" s="9"/>
      <c r="T181" s="9" t="s">
        <v>32</v>
      </c>
      <c r="U181" s="9" t="s">
        <v>33</v>
      </c>
    </row>
    <row r="182" spans="1:21" ht="15.6" x14ac:dyDescent="0.3">
      <c r="A182" s="9" t="s">
        <v>415</v>
      </c>
      <c r="B182" s="9" t="s">
        <v>420</v>
      </c>
      <c r="C182" s="9" t="s">
        <v>22</v>
      </c>
      <c r="D182" s="10">
        <v>45911</v>
      </c>
      <c r="E182" s="9" t="s">
        <v>23</v>
      </c>
      <c r="F182" s="9" t="s">
        <v>36</v>
      </c>
      <c r="G182" s="9" t="s">
        <v>313</v>
      </c>
      <c r="H182" s="9" t="s">
        <v>314</v>
      </c>
      <c r="I182" s="9" t="s">
        <v>27</v>
      </c>
      <c r="J182" s="9">
        <v>1</v>
      </c>
      <c r="K182" s="9">
        <v>5</v>
      </c>
      <c r="L182" s="13">
        <f t="shared" si="11"/>
        <v>0.05</v>
      </c>
      <c r="M182" s="9" t="s">
        <v>28</v>
      </c>
      <c r="N182" s="9" t="s">
        <v>29</v>
      </c>
      <c r="O182" s="30" t="s">
        <v>417</v>
      </c>
      <c r="P182" s="30" t="s">
        <v>418</v>
      </c>
      <c r="Q182" s="9"/>
      <c r="R182" s="9"/>
      <c r="S182" s="9"/>
      <c r="T182" s="9" t="s">
        <v>32</v>
      </c>
      <c r="U182" s="9" t="s">
        <v>33</v>
      </c>
    </row>
    <row r="183" spans="1:21" ht="15.6" x14ac:dyDescent="0.3">
      <c r="A183" s="9" t="s">
        <v>421</v>
      </c>
      <c r="B183" s="9" t="s">
        <v>422</v>
      </c>
      <c r="C183" s="9" t="s">
        <v>22</v>
      </c>
      <c r="D183" s="10">
        <v>45911</v>
      </c>
      <c r="E183" s="9" t="s">
        <v>23</v>
      </c>
      <c r="F183" s="9" t="s">
        <v>42</v>
      </c>
      <c r="G183" s="9" t="s">
        <v>318</v>
      </c>
      <c r="H183" s="9" t="s">
        <v>319</v>
      </c>
      <c r="I183" s="9" t="s">
        <v>27</v>
      </c>
      <c r="J183" s="9">
        <v>1</v>
      </c>
      <c r="K183" s="9">
        <v>20</v>
      </c>
      <c r="L183" s="13">
        <f t="shared" si="11"/>
        <v>0.2</v>
      </c>
      <c r="M183" s="9" t="s">
        <v>28</v>
      </c>
      <c r="N183" s="9" t="s">
        <v>29</v>
      </c>
      <c r="O183" s="30" t="s">
        <v>423</v>
      </c>
      <c r="P183" s="30" t="s">
        <v>424</v>
      </c>
      <c r="Q183" s="9"/>
      <c r="R183" s="9"/>
      <c r="S183" s="9"/>
      <c r="T183" s="9" t="s">
        <v>32</v>
      </c>
      <c r="U183" s="9" t="s">
        <v>33</v>
      </c>
    </row>
    <row r="184" spans="1:21" ht="15.6" x14ac:dyDescent="0.3">
      <c r="A184" s="9" t="s">
        <v>421</v>
      </c>
      <c r="B184" s="9" t="s">
        <v>425</v>
      </c>
      <c r="C184" s="9" t="s">
        <v>22</v>
      </c>
      <c r="D184" s="10">
        <v>45911</v>
      </c>
      <c r="E184" s="9" t="s">
        <v>23</v>
      </c>
      <c r="F184" s="9" t="s">
        <v>271</v>
      </c>
      <c r="G184" s="9" t="s">
        <v>272</v>
      </c>
      <c r="H184" s="9" t="s">
        <v>273</v>
      </c>
      <c r="I184" s="9" t="s">
        <v>27</v>
      </c>
      <c r="J184" s="9">
        <v>1</v>
      </c>
      <c r="K184" s="9">
        <v>8</v>
      </c>
      <c r="L184" s="13">
        <f t="shared" si="11"/>
        <v>0.08</v>
      </c>
      <c r="M184" s="9" t="s">
        <v>28</v>
      </c>
      <c r="N184" s="9" t="s">
        <v>29</v>
      </c>
      <c r="O184" s="30" t="s">
        <v>423</v>
      </c>
      <c r="P184" s="30" t="s">
        <v>424</v>
      </c>
      <c r="Q184" s="9"/>
      <c r="R184" s="9"/>
      <c r="S184" s="9"/>
      <c r="T184" s="9" t="s">
        <v>32</v>
      </c>
      <c r="U184" s="9" t="s">
        <v>33</v>
      </c>
    </row>
    <row r="185" spans="1:21" ht="15.6" x14ac:dyDescent="0.3">
      <c r="A185" s="9" t="s">
        <v>421</v>
      </c>
      <c r="B185" s="9" t="s">
        <v>426</v>
      </c>
      <c r="C185" s="9" t="s">
        <v>22</v>
      </c>
      <c r="D185" s="10">
        <v>45911</v>
      </c>
      <c r="E185" s="9" t="s">
        <v>23</v>
      </c>
      <c r="F185" s="9" t="s">
        <v>24</v>
      </c>
      <c r="G185" s="9" t="s">
        <v>25</v>
      </c>
      <c r="H185" s="9" t="s">
        <v>26</v>
      </c>
      <c r="I185" s="9" t="s">
        <v>27</v>
      </c>
      <c r="J185" s="9">
        <v>1</v>
      </c>
      <c r="K185" s="9">
        <v>30</v>
      </c>
      <c r="L185" s="13">
        <f t="shared" si="11"/>
        <v>0.3</v>
      </c>
      <c r="M185" s="9" t="s">
        <v>28</v>
      </c>
      <c r="N185" s="9" t="s">
        <v>29</v>
      </c>
      <c r="O185" s="30" t="s">
        <v>423</v>
      </c>
      <c r="P185" s="30" t="s">
        <v>424</v>
      </c>
      <c r="Q185" s="9"/>
      <c r="R185" s="9"/>
      <c r="S185" s="9"/>
      <c r="T185" s="9" t="s">
        <v>32</v>
      </c>
      <c r="U185" s="9" t="s">
        <v>33</v>
      </c>
    </row>
    <row r="186" spans="1:21" ht="15.6" x14ac:dyDescent="0.3">
      <c r="A186" s="9" t="s">
        <v>427</v>
      </c>
      <c r="B186" s="9" t="s">
        <v>428</v>
      </c>
      <c r="C186" s="9" t="s">
        <v>22</v>
      </c>
      <c r="D186" s="10">
        <v>45911</v>
      </c>
      <c r="E186" s="9" t="s">
        <v>23</v>
      </c>
      <c r="F186" s="9" t="s">
        <v>24</v>
      </c>
      <c r="G186" s="9" t="s">
        <v>25</v>
      </c>
      <c r="H186" s="9" t="s">
        <v>26</v>
      </c>
      <c r="I186" s="9" t="s">
        <v>27</v>
      </c>
      <c r="J186" s="9">
        <v>1</v>
      </c>
      <c r="K186" s="9">
        <v>5</v>
      </c>
      <c r="L186" s="13">
        <f t="shared" si="11"/>
        <v>0.05</v>
      </c>
      <c r="M186" s="9" t="s">
        <v>28</v>
      </c>
      <c r="N186" s="9" t="s">
        <v>29</v>
      </c>
      <c r="O186" s="30" t="s">
        <v>429</v>
      </c>
      <c r="P186" s="30" t="s">
        <v>430</v>
      </c>
      <c r="Q186" s="9"/>
      <c r="R186" s="9"/>
      <c r="S186" s="9"/>
      <c r="T186" s="9" t="s">
        <v>32</v>
      </c>
      <c r="U186" s="9" t="s">
        <v>33</v>
      </c>
    </row>
    <row r="187" spans="1:21" ht="15.6" x14ac:dyDescent="0.3">
      <c r="A187" s="9" t="s">
        <v>427</v>
      </c>
      <c r="B187" s="9" t="s">
        <v>431</v>
      </c>
      <c r="C187" s="9" t="s">
        <v>22</v>
      </c>
      <c r="D187" s="10">
        <v>45911</v>
      </c>
      <c r="E187" s="9" t="s">
        <v>23</v>
      </c>
      <c r="F187" s="9" t="s">
        <v>36</v>
      </c>
      <c r="G187" s="9" t="s">
        <v>101</v>
      </c>
      <c r="H187" s="9" t="s">
        <v>102</v>
      </c>
      <c r="I187" s="9" t="s">
        <v>27</v>
      </c>
      <c r="J187" s="9">
        <v>1</v>
      </c>
      <c r="K187" s="9">
        <v>5</v>
      </c>
      <c r="L187" s="13">
        <f t="shared" si="11"/>
        <v>0.05</v>
      </c>
      <c r="M187" s="9" t="s">
        <v>28</v>
      </c>
      <c r="N187" s="9" t="s">
        <v>29</v>
      </c>
      <c r="O187" s="30" t="s">
        <v>429</v>
      </c>
      <c r="P187" s="30" t="s">
        <v>430</v>
      </c>
      <c r="Q187" s="9"/>
      <c r="R187" s="9"/>
      <c r="S187" s="9"/>
      <c r="T187" s="9" t="s">
        <v>32</v>
      </c>
      <c r="U187" s="9" t="s">
        <v>33</v>
      </c>
    </row>
    <row r="188" spans="1:21" ht="15.6" x14ac:dyDescent="0.3">
      <c r="A188" s="9" t="s">
        <v>427</v>
      </c>
      <c r="B188" s="9" t="s">
        <v>432</v>
      </c>
      <c r="C188" s="9" t="s">
        <v>22</v>
      </c>
      <c r="D188" s="10">
        <v>45911</v>
      </c>
      <c r="E188" s="9" t="s">
        <v>23</v>
      </c>
      <c r="F188" s="9" t="s">
        <v>42</v>
      </c>
      <c r="G188" s="9" t="s">
        <v>318</v>
      </c>
      <c r="H188" s="9" t="s">
        <v>319</v>
      </c>
      <c r="I188" s="9" t="s">
        <v>27</v>
      </c>
      <c r="J188" s="9">
        <v>1</v>
      </c>
      <c r="K188" s="9">
        <v>90</v>
      </c>
      <c r="L188" s="13">
        <f t="shared" si="11"/>
        <v>0.9</v>
      </c>
      <c r="M188" s="9" t="s">
        <v>28</v>
      </c>
      <c r="N188" s="9" t="s">
        <v>29</v>
      </c>
      <c r="O188" s="30" t="s">
        <v>429</v>
      </c>
      <c r="P188" s="30" t="s">
        <v>430</v>
      </c>
      <c r="Q188" s="9"/>
      <c r="R188" s="9"/>
      <c r="S188" s="9"/>
      <c r="T188" s="9" t="s">
        <v>32</v>
      </c>
      <c r="U188" s="9" t="s">
        <v>33</v>
      </c>
    </row>
    <row r="189" spans="1:21" ht="15.6" x14ac:dyDescent="0.3">
      <c r="A189" s="9" t="s">
        <v>433</v>
      </c>
      <c r="B189" s="9" t="s">
        <v>434</v>
      </c>
      <c r="C189" s="9" t="s">
        <v>22</v>
      </c>
      <c r="D189" s="10">
        <v>45911</v>
      </c>
      <c r="E189" s="9" t="s">
        <v>23</v>
      </c>
      <c r="F189" s="9" t="s">
        <v>24</v>
      </c>
      <c r="G189" s="9" t="s">
        <v>25</v>
      </c>
      <c r="H189" s="9" t="s">
        <v>26</v>
      </c>
      <c r="I189" s="9" t="s">
        <v>27</v>
      </c>
      <c r="J189" s="9">
        <v>1</v>
      </c>
      <c r="K189" s="9">
        <v>35</v>
      </c>
      <c r="L189" s="13">
        <f t="shared" si="11"/>
        <v>0.35</v>
      </c>
      <c r="M189" s="9" t="s">
        <v>28</v>
      </c>
      <c r="N189" s="9" t="s">
        <v>29</v>
      </c>
      <c r="O189" s="30" t="s">
        <v>435</v>
      </c>
      <c r="P189" s="30" t="s">
        <v>436</v>
      </c>
      <c r="Q189" s="9"/>
      <c r="R189" s="9"/>
      <c r="S189" s="9"/>
      <c r="T189" s="9" t="s">
        <v>32</v>
      </c>
      <c r="U189" s="9" t="s">
        <v>33</v>
      </c>
    </row>
    <row r="190" spans="1:21" ht="15.6" x14ac:dyDescent="0.3">
      <c r="A190" s="9" t="s">
        <v>433</v>
      </c>
      <c r="B190" s="9" t="s">
        <v>437</v>
      </c>
      <c r="C190" s="9" t="s">
        <v>22</v>
      </c>
      <c r="D190" s="10">
        <v>45911</v>
      </c>
      <c r="E190" s="9" t="s">
        <v>23</v>
      </c>
      <c r="F190" s="9" t="s">
        <v>271</v>
      </c>
      <c r="G190" s="9" t="s">
        <v>272</v>
      </c>
      <c r="H190" s="9" t="s">
        <v>273</v>
      </c>
      <c r="I190" s="9" t="s">
        <v>27</v>
      </c>
      <c r="J190" s="9">
        <v>1</v>
      </c>
      <c r="K190" s="9">
        <v>20</v>
      </c>
      <c r="L190" s="13">
        <f t="shared" si="11"/>
        <v>0.2</v>
      </c>
      <c r="M190" s="9" t="s">
        <v>28</v>
      </c>
      <c r="N190" s="9" t="s">
        <v>29</v>
      </c>
      <c r="O190" s="30" t="s">
        <v>435</v>
      </c>
      <c r="P190" s="30" t="s">
        <v>436</v>
      </c>
      <c r="Q190" s="9"/>
      <c r="R190" s="9"/>
      <c r="S190" s="9"/>
      <c r="T190" s="9" t="s">
        <v>32</v>
      </c>
      <c r="U190" s="9" t="s">
        <v>33</v>
      </c>
    </row>
    <row r="191" spans="1:21" ht="15.6" x14ac:dyDescent="0.3">
      <c r="A191" s="9" t="s">
        <v>433</v>
      </c>
      <c r="B191" s="9" t="s">
        <v>438</v>
      </c>
      <c r="C191" s="9" t="s">
        <v>22</v>
      </c>
      <c r="D191" s="10">
        <v>45911</v>
      </c>
      <c r="E191" s="9" t="s">
        <v>23</v>
      </c>
      <c r="F191" s="9" t="s">
        <v>42</v>
      </c>
      <c r="G191" s="9" t="s">
        <v>318</v>
      </c>
      <c r="H191" s="9" t="s">
        <v>319</v>
      </c>
      <c r="I191" s="9" t="s">
        <v>27</v>
      </c>
      <c r="J191" s="9">
        <v>1</v>
      </c>
      <c r="K191" s="9">
        <v>100</v>
      </c>
      <c r="L191" s="13">
        <f t="shared" si="11"/>
        <v>1</v>
      </c>
      <c r="M191" s="9" t="s">
        <v>28</v>
      </c>
      <c r="N191" s="9" t="s">
        <v>29</v>
      </c>
      <c r="O191" s="30" t="s">
        <v>435</v>
      </c>
      <c r="P191" s="30" t="s">
        <v>436</v>
      </c>
      <c r="Q191" s="9"/>
      <c r="R191" s="9"/>
      <c r="S191" s="9"/>
      <c r="T191" s="9" t="s">
        <v>32</v>
      </c>
      <c r="U191" s="9" t="s">
        <v>33</v>
      </c>
    </row>
    <row r="192" spans="1:21" ht="15.6" x14ac:dyDescent="0.3">
      <c r="A192" s="9" t="s">
        <v>433</v>
      </c>
      <c r="B192" s="9" t="s">
        <v>439</v>
      </c>
      <c r="C192" s="9" t="s">
        <v>22</v>
      </c>
      <c r="D192" s="10">
        <v>45911</v>
      </c>
      <c r="E192" s="9" t="s">
        <v>23</v>
      </c>
      <c r="F192" s="9" t="s">
        <v>36</v>
      </c>
      <c r="G192" s="9" t="s">
        <v>101</v>
      </c>
      <c r="H192" s="9" t="s">
        <v>102</v>
      </c>
      <c r="I192" s="9" t="s">
        <v>27</v>
      </c>
      <c r="J192" s="9">
        <v>1</v>
      </c>
      <c r="K192" s="9">
        <v>5</v>
      </c>
      <c r="L192" s="13">
        <f t="shared" si="11"/>
        <v>0.05</v>
      </c>
      <c r="M192" s="9" t="s">
        <v>28</v>
      </c>
      <c r="N192" s="9" t="s">
        <v>29</v>
      </c>
      <c r="O192" s="30" t="s">
        <v>435</v>
      </c>
      <c r="P192" s="30" t="s">
        <v>436</v>
      </c>
      <c r="Q192" s="9"/>
      <c r="R192" s="9"/>
      <c r="S192" s="9"/>
      <c r="T192" s="9" t="s">
        <v>32</v>
      </c>
      <c r="U192" s="9" t="s">
        <v>33</v>
      </c>
    </row>
    <row r="193" spans="1:21" ht="15.6" x14ac:dyDescent="0.3">
      <c r="A193" s="9" t="s">
        <v>433</v>
      </c>
      <c r="B193" s="9" t="s">
        <v>440</v>
      </c>
      <c r="C193" s="9" t="s">
        <v>22</v>
      </c>
      <c r="D193" s="10">
        <v>45911</v>
      </c>
      <c r="E193" s="9" t="s">
        <v>23</v>
      </c>
      <c r="F193" s="9" t="s">
        <v>47</v>
      </c>
      <c r="G193" s="9" t="s">
        <v>394</v>
      </c>
      <c r="H193" s="9" t="s">
        <v>395</v>
      </c>
      <c r="I193" s="9" t="s">
        <v>27</v>
      </c>
      <c r="J193" s="9">
        <v>1</v>
      </c>
      <c r="K193" s="9">
        <v>40</v>
      </c>
      <c r="L193" s="13">
        <f t="shared" si="11"/>
        <v>0.4</v>
      </c>
      <c r="M193" s="9" t="s">
        <v>28</v>
      </c>
      <c r="N193" s="9" t="s">
        <v>29</v>
      </c>
      <c r="O193" s="30" t="s">
        <v>435</v>
      </c>
      <c r="P193" s="30" t="s">
        <v>436</v>
      </c>
      <c r="Q193" s="9"/>
      <c r="R193" s="9"/>
      <c r="S193" s="9"/>
      <c r="T193" s="9" t="s">
        <v>32</v>
      </c>
      <c r="U193" s="9" t="s">
        <v>33</v>
      </c>
    </row>
    <row r="194" spans="1:21" ht="15.6" x14ac:dyDescent="0.3">
      <c r="A194" s="9" t="s">
        <v>441</v>
      </c>
      <c r="B194" s="9" t="s">
        <v>442</v>
      </c>
      <c r="C194" s="9" t="s">
        <v>22</v>
      </c>
      <c r="D194" s="10">
        <v>45911</v>
      </c>
      <c r="E194" s="9" t="s">
        <v>23</v>
      </c>
      <c r="F194" s="9" t="s">
        <v>24</v>
      </c>
      <c r="G194" s="9" t="s">
        <v>25</v>
      </c>
      <c r="H194" s="9" t="s">
        <v>26</v>
      </c>
      <c r="I194" s="9" t="s">
        <v>27</v>
      </c>
      <c r="J194" s="9">
        <v>1</v>
      </c>
      <c r="K194" s="9">
        <v>70</v>
      </c>
      <c r="L194" s="13">
        <f t="shared" si="11"/>
        <v>0.7</v>
      </c>
      <c r="M194" s="9" t="s">
        <v>28</v>
      </c>
      <c r="N194" s="9" t="s">
        <v>29</v>
      </c>
      <c r="O194" s="30" t="s">
        <v>443</v>
      </c>
      <c r="P194" s="30" t="s">
        <v>444</v>
      </c>
      <c r="Q194" s="9"/>
      <c r="R194" s="9"/>
      <c r="S194" s="9"/>
      <c r="T194" s="9" t="s">
        <v>32</v>
      </c>
      <c r="U194" s="9" t="s">
        <v>33</v>
      </c>
    </row>
    <row r="195" spans="1:21" ht="15.6" x14ac:dyDescent="0.3">
      <c r="A195" s="9" t="s">
        <v>441</v>
      </c>
      <c r="B195" s="9" t="s">
        <v>445</v>
      </c>
      <c r="C195" s="9" t="s">
        <v>22</v>
      </c>
      <c r="D195" s="10">
        <v>45911</v>
      </c>
      <c r="E195" s="9" t="s">
        <v>23</v>
      </c>
      <c r="F195" s="9" t="s">
        <v>42</v>
      </c>
      <c r="G195" s="9" t="s">
        <v>318</v>
      </c>
      <c r="H195" s="9" t="s">
        <v>319</v>
      </c>
      <c r="I195" s="9" t="s">
        <v>27</v>
      </c>
      <c r="J195" s="9">
        <v>1</v>
      </c>
      <c r="K195" s="9">
        <v>90</v>
      </c>
      <c r="L195" s="13">
        <f t="shared" ref="L195:L239" si="12">K195/100</f>
        <v>0.9</v>
      </c>
      <c r="M195" s="9" t="s">
        <v>28</v>
      </c>
      <c r="N195" s="9" t="s">
        <v>29</v>
      </c>
      <c r="O195" s="30" t="s">
        <v>443</v>
      </c>
      <c r="P195" s="30" t="s">
        <v>444</v>
      </c>
      <c r="Q195" s="9"/>
      <c r="R195" s="9"/>
      <c r="S195" s="9"/>
      <c r="T195" s="9" t="s">
        <v>32</v>
      </c>
      <c r="U195" s="9" t="s">
        <v>33</v>
      </c>
    </row>
    <row r="196" spans="1:21" ht="15.6" x14ac:dyDescent="0.3">
      <c r="A196" s="9" t="s">
        <v>446</v>
      </c>
      <c r="B196" s="9" t="s">
        <v>447</v>
      </c>
      <c r="C196" s="9" t="s">
        <v>22</v>
      </c>
      <c r="D196" s="10">
        <v>45911</v>
      </c>
      <c r="E196" s="9" t="s">
        <v>23</v>
      </c>
      <c r="F196" s="9" t="s">
        <v>42</v>
      </c>
      <c r="G196" s="9" t="s">
        <v>43</v>
      </c>
      <c r="H196" s="9" t="s">
        <v>44</v>
      </c>
      <c r="I196" s="9" t="s">
        <v>27</v>
      </c>
      <c r="J196" s="9">
        <v>1</v>
      </c>
      <c r="K196" s="9">
        <v>5</v>
      </c>
      <c r="L196" s="13">
        <f t="shared" si="12"/>
        <v>0.05</v>
      </c>
      <c r="M196" s="9" t="s">
        <v>28</v>
      </c>
      <c r="N196" s="9" t="s">
        <v>29</v>
      </c>
      <c r="O196" s="30" t="s">
        <v>448</v>
      </c>
      <c r="P196" s="30" t="s">
        <v>449</v>
      </c>
      <c r="Q196" s="9"/>
      <c r="R196" s="9"/>
      <c r="S196" s="9"/>
      <c r="T196" s="9" t="s">
        <v>32</v>
      </c>
      <c r="U196" s="9" t="s">
        <v>33</v>
      </c>
    </row>
    <row r="197" spans="1:21" ht="15.6" x14ac:dyDescent="0.3">
      <c r="A197" s="9" t="s">
        <v>446</v>
      </c>
      <c r="B197" s="9" t="s">
        <v>450</v>
      </c>
      <c r="C197" s="9" t="s">
        <v>22</v>
      </c>
      <c r="D197" s="10">
        <v>45911</v>
      </c>
      <c r="E197" s="9" t="s">
        <v>23</v>
      </c>
      <c r="F197" s="9" t="s">
        <v>42</v>
      </c>
      <c r="G197" s="9" t="s">
        <v>318</v>
      </c>
      <c r="H197" s="9" t="s">
        <v>319</v>
      </c>
      <c r="I197" s="9" t="s">
        <v>27</v>
      </c>
      <c r="J197" s="9">
        <v>1</v>
      </c>
      <c r="K197" s="9">
        <v>95</v>
      </c>
      <c r="L197" s="13">
        <f t="shared" si="12"/>
        <v>0.95</v>
      </c>
      <c r="M197" s="9" t="s">
        <v>28</v>
      </c>
      <c r="N197" s="9" t="s">
        <v>29</v>
      </c>
      <c r="O197" s="30" t="s">
        <v>448</v>
      </c>
      <c r="P197" s="30" t="s">
        <v>449</v>
      </c>
      <c r="Q197" s="9"/>
      <c r="R197" s="9"/>
      <c r="S197" s="9"/>
      <c r="T197" s="9" t="s">
        <v>32</v>
      </c>
      <c r="U197" s="9" t="s">
        <v>33</v>
      </c>
    </row>
    <row r="198" spans="1:21" ht="15.6" x14ac:dyDescent="0.3">
      <c r="A198" s="9" t="s">
        <v>446</v>
      </c>
      <c r="B198" s="9" t="s">
        <v>451</v>
      </c>
      <c r="C198" s="9" t="s">
        <v>22</v>
      </c>
      <c r="D198" s="10">
        <v>45911</v>
      </c>
      <c r="E198" s="9" t="s">
        <v>23</v>
      </c>
      <c r="F198" s="9" t="s">
        <v>42</v>
      </c>
      <c r="G198" s="9" t="s">
        <v>171</v>
      </c>
      <c r="H198" s="9" t="s">
        <v>355</v>
      </c>
      <c r="I198" s="9" t="s">
        <v>27</v>
      </c>
      <c r="J198" s="9">
        <v>1</v>
      </c>
      <c r="K198" s="9">
        <v>2</v>
      </c>
      <c r="L198" s="13">
        <f t="shared" si="12"/>
        <v>0.02</v>
      </c>
      <c r="M198" s="9" t="s">
        <v>28</v>
      </c>
      <c r="N198" s="9" t="s">
        <v>29</v>
      </c>
      <c r="O198" s="30" t="s">
        <v>448</v>
      </c>
      <c r="P198" s="30" t="s">
        <v>449</v>
      </c>
      <c r="Q198" s="9"/>
      <c r="R198" s="9"/>
      <c r="S198" s="9"/>
      <c r="T198" s="9" t="s">
        <v>32</v>
      </c>
      <c r="U198" s="9" t="s">
        <v>33</v>
      </c>
    </row>
    <row r="199" spans="1:21" ht="15.6" x14ac:dyDescent="0.3">
      <c r="A199" s="9" t="s">
        <v>452</v>
      </c>
      <c r="B199" s="9" t="s">
        <v>453</v>
      </c>
      <c r="C199" s="9" t="s">
        <v>22</v>
      </c>
      <c r="D199" s="10">
        <v>45911</v>
      </c>
      <c r="E199" s="9" t="s">
        <v>23</v>
      </c>
      <c r="F199" s="9" t="s">
        <v>24</v>
      </c>
      <c r="G199" s="9" t="s">
        <v>25</v>
      </c>
      <c r="H199" s="9" t="s">
        <v>26</v>
      </c>
      <c r="I199" s="9" t="s">
        <v>27</v>
      </c>
      <c r="J199" s="9">
        <v>1</v>
      </c>
      <c r="K199" s="9">
        <v>30</v>
      </c>
      <c r="L199" s="13">
        <f t="shared" si="12"/>
        <v>0.3</v>
      </c>
      <c r="M199" s="9" t="s">
        <v>28</v>
      </c>
      <c r="N199" s="9" t="s">
        <v>29</v>
      </c>
      <c r="O199" s="30" t="s">
        <v>454</v>
      </c>
      <c r="P199" s="30" t="s">
        <v>455</v>
      </c>
      <c r="Q199" s="9"/>
      <c r="R199" s="9"/>
      <c r="S199" s="9"/>
      <c r="T199" s="9" t="s">
        <v>32</v>
      </c>
      <c r="U199" s="9" t="s">
        <v>33</v>
      </c>
    </row>
    <row r="200" spans="1:21" ht="15.6" x14ac:dyDescent="0.3">
      <c r="A200" s="9" t="s">
        <v>452</v>
      </c>
      <c r="B200" s="9" t="s">
        <v>456</v>
      </c>
      <c r="C200" s="9" t="s">
        <v>22</v>
      </c>
      <c r="D200" s="10">
        <v>45911</v>
      </c>
      <c r="E200" s="9" t="s">
        <v>23</v>
      </c>
      <c r="F200" s="9" t="s">
        <v>42</v>
      </c>
      <c r="G200" s="9" t="s">
        <v>318</v>
      </c>
      <c r="H200" s="9" t="s">
        <v>319</v>
      </c>
      <c r="I200" s="9" t="s">
        <v>27</v>
      </c>
      <c r="J200" s="9">
        <v>1</v>
      </c>
      <c r="K200" s="9">
        <v>95</v>
      </c>
      <c r="L200" s="13">
        <f t="shared" si="12"/>
        <v>0.95</v>
      </c>
      <c r="M200" s="9" t="s">
        <v>28</v>
      </c>
      <c r="N200" s="9" t="s">
        <v>29</v>
      </c>
      <c r="O200" s="30" t="s">
        <v>454</v>
      </c>
      <c r="P200" s="30" t="s">
        <v>455</v>
      </c>
      <c r="Q200" s="9"/>
      <c r="R200" s="9"/>
      <c r="S200" s="9"/>
      <c r="T200" s="9" t="s">
        <v>32</v>
      </c>
      <c r="U200" s="9" t="s">
        <v>33</v>
      </c>
    </row>
    <row r="201" spans="1:21" ht="15.6" x14ac:dyDescent="0.3">
      <c r="A201" s="9" t="s">
        <v>452</v>
      </c>
      <c r="B201" s="9" t="s">
        <v>457</v>
      </c>
      <c r="C201" s="9" t="s">
        <v>22</v>
      </c>
      <c r="D201" s="10">
        <v>45911</v>
      </c>
      <c r="E201" s="9" t="s">
        <v>23</v>
      </c>
      <c r="F201" s="9" t="s">
        <v>458</v>
      </c>
      <c r="G201" s="9" t="s">
        <v>459</v>
      </c>
      <c r="H201" s="9" t="s">
        <v>460</v>
      </c>
      <c r="I201" s="9" t="s">
        <v>27</v>
      </c>
      <c r="J201" s="9">
        <v>1</v>
      </c>
      <c r="K201" s="9">
        <v>10</v>
      </c>
      <c r="L201" s="13">
        <f t="shared" si="12"/>
        <v>0.1</v>
      </c>
      <c r="M201" s="9" t="s">
        <v>28</v>
      </c>
      <c r="N201" s="9" t="s">
        <v>29</v>
      </c>
      <c r="O201" s="30" t="s">
        <v>454</v>
      </c>
      <c r="P201" s="30" t="s">
        <v>455</v>
      </c>
      <c r="Q201" s="9"/>
      <c r="R201" s="9"/>
      <c r="S201" s="9"/>
      <c r="T201" s="9" t="s">
        <v>32</v>
      </c>
      <c r="U201" s="9" t="s">
        <v>33</v>
      </c>
    </row>
    <row r="202" spans="1:21" ht="15.6" x14ac:dyDescent="0.3">
      <c r="A202" s="9" t="s">
        <v>452</v>
      </c>
      <c r="B202" s="9" t="s">
        <v>461</v>
      </c>
      <c r="C202" s="9" t="s">
        <v>22</v>
      </c>
      <c r="D202" s="10">
        <v>45911</v>
      </c>
      <c r="E202" s="9" t="s">
        <v>23</v>
      </c>
      <c r="F202" s="9" t="s">
        <v>47</v>
      </c>
      <c r="G202" s="9" t="s">
        <v>394</v>
      </c>
      <c r="H202" s="9" t="s">
        <v>395</v>
      </c>
      <c r="I202" s="9" t="s">
        <v>27</v>
      </c>
      <c r="J202" s="9">
        <v>1</v>
      </c>
      <c r="K202" s="9">
        <v>35</v>
      </c>
      <c r="L202" s="13">
        <f t="shared" si="12"/>
        <v>0.35</v>
      </c>
      <c r="M202" s="9" t="s">
        <v>28</v>
      </c>
      <c r="N202" s="9" t="s">
        <v>29</v>
      </c>
      <c r="O202" s="30" t="s">
        <v>454</v>
      </c>
      <c r="P202" s="30" t="s">
        <v>455</v>
      </c>
      <c r="Q202" s="9"/>
      <c r="R202" s="9"/>
      <c r="S202" s="9"/>
      <c r="T202" s="9" t="s">
        <v>32</v>
      </c>
      <c r="U202" s="9" t="s">
        <v>33</v>
      </c>
    </row>
    <row r="203" spans="1:21" ht="15.6" x14ac:dyDescent="0.3">
      <c r="A203" s="9" t="s">
        <v>462</v>
      </c>
      <c r="B203" s="9" t="s">
        <v>463</v>
      </c>
      <c r="C203" s="9" t="s">
        <v>22</v>
      </c>
      <c r="D203" s="10">
        <v>45911</v>
      </c>
      <c r="E203" s="9" t="s">
        <v>23</v>
      </c>
      <c r="F203" s="9" t="s">
        <v>42</v>
      </c>
      <c r="G203" s="9" t="s">
        <v>318</v>
      </c>
      <c r="H203" s="9" t="s">
        <v>319</v>
      </c>
      <c r="I203" s="9" t="s">
        <v>27</v>
      </c>
      <c r="J203" s="9">
        <v>1</v>
      </c>
      <c r="K203" s="9">
        <v>100</v>
      </c>
      <c r="L203" s="13">
        <f t="shared" si="12"/>
        <v>1</v>
      </c>
      <c r="M203" s="9" t="s">
        <v>28</v>
      </c>
      <c r="N203" s="9" t="s">
        <v>29</v>
      </c>
      <c r="O203" s="30" t="s">
        <v>464</v>
      </c>
      <c r="P203" s="30" t="s">
        <v>465</v>
      </c>
      <c r="Q203" s="9"/>
      <c r="R203" s="9"/>
      <c r="S203" s="9"/>
      <c r="T203" s="9" t="s">
        <v>32</v>
      </c>
      <c r="U203" s="9" t="s">
        <v>33</v>
      </c>
    </row>
    <row r="204" spans="1:21" ht="15.6" x14ac:dyDescent="0.3">
      <c r="A204" s="9" t="s">
        <v>462</v>
      </c>
      <c r="B204" s="9" t="s">
        <v>466</v>
      </c>
      <c r="C204" s="9" t="s">
        <v>22</v>
      </c>
      <c r="D204" s="10">
        <v>45911</v>
      </c>
      <c r="E204" s="9" t="s">
        <v>23</v>
      </c>
      <c r="F204" s="9" t="s">
        <v>57</v>
      </c>
      <c r="G204" s="9" t="s">
        <v>408</v>
      </c>
      <c r="H204" s="9" t="s">
        <v>59</v>
      </c>
      <c r="I204" s="9" t="s">
        <v>27</v>
      </c>
      <c r="J204" s="9">
        <v>1</v>
      </c>
      <c r="K204" s="9">
        <v>10</v>
      </c>
      <c r="L204" s="13">
        <f t="shared" si="12"/>
        <v>0.1</v>
      </c>
      <c r="M204" s="9" t="s">
        <v>28</v>
      </c>
      <c r="N204" s="9" t="s">
        <v>29</v>
      </c>
      <c r="O204" s="30" t="s">
        <v>464</v>
      </c>
      <c r="P204" s="30" t="s">
        <v>465</v>
      </c>
      <c r="Q204" s="9"/>
      <c r="R204" s="9"/>
      <c r="S204" s="9"/>
      <c r="T204" s="9" t="s">
        <v>32</v>
      </c>
      <c r="U204" s="9" t="s">
        <v>33</v>
      </c>
    </row>
    <row r="205" spans="1:21" ht="15.6" x14ac:dyDescent="0.3">
      <c r="A205" s="9" t="s">
        <v>462</v>
      </c>
      <c r="B205" s="9" t="s">
        <v>467</v>
      </c>
      <c r="C205" s="9" t="s">
        <v>22</v>
      </c>
      <c r="D205" s="10">
        <v>45911</v>
      </c>
      <c r="E205" s="9" t="s">
        <v>23</v>
      </c>
      <c r="F205" s="9" t="s">
        <v>36</v>
      </c>
      <c r="G205" s="9" t="s">
        <v>101</v>
      </c>
      <c r="H205" s="9" t="s">
        <v>102</v>
      </c>
      <c r="I205" s="9" t="s">
        <v>27</v>
      </c>
      <c r="J205" s="9">
        <v>1</v>
      </c>
      <c r="K205" s="9">
        <v>10</v>
      </c>
      <c r="L205" s="13">
        <f t="shared" si="12"/>
        <v>0.1</v>
      </c>
      <c r="M205" s="9" t="s">
        <v>28</v>
      </c>
      <c r="N205" s="9" t="s">
        <v>29</v>
      </c>
      <c r="O205" s="30" t="s">
        <v>464</v>
      </c>
      <c r="P205" s="30" t="s">
        <v>465</v>
      </c>
      <c r="Q205" s="9"/>
      <c r="R205" s="9"/>
      <c r="S205" s="9"/>
      <c r="T205" s="9" t="s">
        <v>32</v>
      </c>
      <c r="U205" s="9" t="s">
        <v>33</v>
      </c>
    </row>
    <row r="206" spans="1:21" ht="15.6" x14ac:dyDescent="0.3">
      <c r="A206" s="9" t="s">
        <v>462</v>
      </c>
      <c r="B206" s="9" t="s">
        <v>468</v>
      </c>
      <c r="C206" s="9" t="s">
        <v>22</v>
      </c>
      <c r="D206" s="10">
        <v>45911</v>
      </c>
      <c r="E206" s="9" t="s">
        <v>23</v>
      </c>
      <c r="F206" s="9" t="s">
        <v>42</v>
      </c>
      <c r="G206" s="9" t="s">
        <v>261</v>
      </c>
      <c r="H206" s="9" t="s">
        <v>321</v>
      </c>
      <c r="I206" s="9" t="s">
        <v>27</v>
      </c>
      <c r="J206" s="9">
        <v>1</v>
      </c>
      <c r="K206" s="9">
        <v>5</v>
      </c>
      <c r="L206" s="13">
        <f t="shared" si="12"/>
        <v>0.05</v>
      </c>
      <c r="M206" s="9" t="s">
        <v>28</v>
      </c>
      <c r="N206" s="9" t="s">
        <v>29</v>
      </c>
      <c r="O206" s="30" t="s">
        <v>464</v>
      </c>
      <c r="P206" s="30" t="s">
        <v>465</v>
      </c>
      <c r="Q206" s="9"/>
      <c r="R206" s="9"/>
      <c r="S206" s="9"/>
      <c r="T206" s="9" t="s">
        <v>32</v>
      </c>
      <c r="U206" s="9" t="s">
        <v>33</v>
      </c>
    </row>
    <row r="207" spans="1:21" ht="15.6" x14ac:dyDescent="0.3">
      <c r="A207" s="9" t="s">
        <v>462</v>
      </c>
      <c r="B207" s="9" t="s">
        <v>469</v>
      </c>
      <c r="C207" s="9" t="s">
        <v>22</v>
      </c>
      <c r="D207" s="10">
        <v>45911</v>
      </c>
      <c r="E207" s="9" t="s">
        <v>23</v>
      </c>
      <c r="F207" s="9" t="s">
        <v>47</v>
      </c>
      <c r="G207" s="9" t="s">
        <v>394</v>
      </c>
      <c r="H207" s="9" t="s">
        <v>395</v>
      </c>
      <c r="I207" s="9" t="s">
        <v>27</v>
      </c>
      <c r="J207" s="9">
        <v>1</v>
      </c>
      <c r="K207" s="9">
        <v>10</v>
      </c>
      <c r="L207" s="13">
        <f t="shared" si="12"/>
        <v>0.1</v>
      </c>
      <c r="M207" s="9" t="s">
        <v>28</v>
      </c>
      <c r="N207" s="9" t="s">
        <v>29</v>
      </c>
      <c r="O207" s="30" t="s">
        <v>464</v>
      </c>
      <c r="P207" s="30" t="s">
        <v>465</v>
      </c>
      <c r="Q207" s="9"/>
      <c r="R207" s="9"/>
      <c r="S207" s="9"/>
      <c r="T207" s="9" t="s">
        <v>32</v>
      </c>
      <c r="U207" s="9" t="s">
        <v>33</v>
      </c>
    </row>
    <row r="208" spans="1:21" ht="15.6" x14ac:dyDescent="0.3">
      <c r="A208" s="9" t="s">
        <v>462</v>
      </c>
      <c r="B208" s="9" t="s">
        <v>470</v>
      </c>
      <c r="C208" s="9" t="s">
        <v>22</v>
      </c>
      <c r="D208" s="10">
        <v>45911</v>
      </c>
      <c r="E208" s="9" t="s">
        <v>23</v>
      </c>
      <c r="F208" s="9" t="s">
        <v>42</v>
      </c>
      <c r="G208" s="9" t="s">
        <v>171</v>
      </c>
      <c r="H208" s="9" t="s">
        <v>355</v>
      </c>
      <c r="I208" s="9" t="s">
        <v>27</v>
      </c>
      <c r="J208" s="9">
        <v>1</v>
      </c>
      <c r="K208" s="9">
        <v>5</v>
      </c>
      <c r="L208" s="13">
        <f t="shared" si="12"/>
        <v>0.05</v>
      </c>
      <c r="M208" s="9" t="s">
        <v>28</v>
      </c>
      <c r="N208" s="9" t="s">
        <v>29</v>
      </c>
      <c r="O208" s="30" t="s">
        <v>464</v>
      </c>
      <c r="P208" s="30" t="s">
        <v>465</v>
      </c>
      <c r="Q208" s="9"/>
      <c r="R208" s="9"/>
      <c r="S208" s="9"/>
      <c r="T208" s="9" t="s">
        <v>32</v>
      </c>
      <c r="U208" s="9" t="s">
        <v>33</v>
      </c>
    </row>
    <row r="209" spans="1:21" ht="15.6" x14ac:dyDescent="0.3">
      <c r="A209" s="9" t="s">
        <v>471</v>
      </c>
      <c r="B209" s="9" t="s">
        <v>472</v>
      </c>
      <c r="C209" s="9" t="s">
        <v>22</v>
      </c>
      <c r="D209" s="10">
        <v>45911</v>
      </c>
      <c r="E209" s="9" t="s">
        <v>23</v>
      </c>
      <c r="F209" s="9" t="s">
        <v>42</v>
      </c>
      <c r="G209" s="9" t="s">
        <v>318</v>
      </c>
      <c r="H209" s="9" t="s">
        <v>319</v>
      </c>
      <c r="I209" s="9" t="s">
        <v>27</v>
      </c>
      <c r="J209" s="9">
        <v>1</v>
      </c>
      <c r="K209" s="9">
        <v>90</v>
      </c>
      <c r="L209" s="13">
        <f t="shared" si="12"/>
        <v>0.9</v>
      </c>
      <c r="M209" s="9" t="s">
        <v>28</v>
      </c>
      <c r="N209" s="9" t="s">
        <v>29</v>
      </c>
      <c r="O209" s="30" t="s">
        <v>473</v>
      </c>
      <c r="P209" s="30" t="s">
        <v>474</v>
      </c>
      <c r="Q209" s="9"/>
      <c r="R209" s="9"/>
      <c r="S209" s="9"/>
      <c r="T209" s="9" t="s">
        <v>32</v>
      </c>
      <c r="U209" s="9" t="s">
        <v>33</v>
      </c>
    </row>
    <row r="210" spans="1:21" ht="15.6" x14ac:dyDescent="0.3">
      <c r="A210" s="9" t="s">
        <v>471</v>
      </c>
      <c r="B210" s="9" t="s">
        <v>475</v>
      </c>
      <c r="C210" s="9" t="s">
        <v>22</v>
      </c>
      <c r="D210" s="10">
        <v>45911</v>
      </c>
      <c r="E210" s="9" t="s">
        <v>23</v>
      </c>
      <c r="F210" s="9" t="s">
        <v>36</v>
      </c>
      <c r="G210" s="9" t="s">
        <v>101</v>
      </c>
      <c r="H210" s="9" t="s">
        <v>102</v>
      </c>
      <c r="I210" s="9" t="s">
        <v>27</v>
      </c>
      <c r="J210" s="9">
        <v>1</v>
      </c>
      <c r="K210" s="9">
        <v>3</v>
      </c>
      <c r="L210" s="13">
        <f t="shared" si="12"/>
        <v>0.03</v>
      </c>
      <c r="M210" s="9" t="s">
        <v>28</v>
      </c>
      <c r="N210" s="9" t="s">
        <v>29</v>
      </c>
      <c r="O210" s="30" t="s">
        <v>473</v>
      </c>
      <c r="P210" s="30" t="s">
        <v>474</v>
      </c>
      <c r="Q210" s="9"/>
      <c r="R210" s="9"/>
      <c r="S210" s="9"/>
      <c r="T210" s="9" t="s">
        <v>32</v>
      </c>
      <c r="U210" s="9" t="s">
        <v>33</v>
      </c>
    </row>
    <row r="211" spans="1:21" ht="15.6" x14ac:dyDescent="0.3">
      <c r="A211" s="9" t="s">
        <v>471</v>
      </c>
      <c r="B211" s="9" t="s">
        <v>476</v>
      </c>
      <c r="C211" s="9" t="s">
        <v>22</v>
      </c>
      <c r="D211" s="10">
        <v>45911</v>
      </c>
      <c r="E211" s="9" t="s">
        <v>23</v>
      </c>
      <c r="F211" s="9" t="s">
        <v>42</v>
      </c>
      <c r="G211" s="9" t="s">
        <v>43</v>
      </c>
      <c r="H211" s="9" t="s">
        <v>44</v>
      </c>
      <c r="I211" s="9" t="s">
        <v>27</v>
      </c>
      <c r="J211" s="9">
        <v>1</v>
      </c>
      <c r="K211" s="9">
        <v>5</v>
      </c>
      <c r="L211" s="13">
        <f t="shared" si="12"/>
        <v>0.05</v>
      </c>
      <c r="M211" s="9" t="s">
        <v>28</v>
      </c>
      <c r="N211" s="9" t="s">
        <v>29</v>
      </c>
      <c r="O211" s="30" t="s">
        <v>473</v>
      </c>
      <c r="P211" s="30" t="s">
        <v>474</v>
      </c>
      <c r="Q211" s="9"/>
      <c r="R211" s="9"/>
      <c r="S211" s="9"/>
      <c r="T211" s="9" t="s">
        <v>32</v>
      </c>
      <c r="U211" s="9" t="s">
        <v>33</v>
      </c>
    </row>
    <row r="212" spans="1:21" ht="15.6" x14ac:dyDescent="0.3">
      <c r="A212" s="9" t="s">
        <v>471</v>
      </c>
      <c r="B212" s="9" t="s">
        <v>477</v>
      </c>
      <c r="C212" s="9" t="s">
        <v>22</v>
      </c>
      <c r="D212" s="10">
        <v>45911</v>
      </c>
      <c r="E212" s="9" t="s">
        <v>23</v>
      </c>
      <c r="F212" s="9" t="s">
        <v>42</v>
      </c>
      <c r="G212" s="9" t="s">
        <v>171</v>
      </c>
      <c r="H212" s="9" t="s">
        <v>355</v>
      </c>
      <c r="I212" s="9" t="s">
        <v>27</v>
      </c>
      <c r="J212" s="9">
        <v>1</v>
      </c>
      <c r="K212" s="9">
        <v>5</v>
      </c>
      <c r="L212" s="13">
        <f t="shared" si="12"/>
        <v>0.05</v>
      </c>
      <c r="M212" s="9" t="s">
        <v>28</v>
      </c>
      <c r="N212" s="9" t="s">
        <v>29</v>
      </c>
      <c r="O212" s="30" t="s">
        <v>473</v>
      </c>
      <c r="P212" s="30" t="s">
        <v>474</v>
      </c>
      <c r="Q212" s="9"/>
      <c r="R212" s="9"/>
      <c r="S212" s="9"/>
      <c r="T212" s="9" t="s">
        <v>32</v>
      </c>
      <c r="U212" s="9" t="s">
        <v>33</v>
      </c>
    </row>
    <row r="213" spans="1:21" ht="15.6" x14ac:dyDescent="0.3">
      <c r="A213" s="9" t="s">
        <v>471</v>
      </c>
      <c r="B213" s="9" t="s">
        <v>478</v>
      </c>
      <c r="C213" s="9" t="s">
        <v>22</v>
      </c>
      <c r="D213" s="10">
        <v>45911</v>
      </c>
      <c r="E213" s="9" t="s">
        <v>23</v>
      </c>
      <c r="F213" s="9" t="s">
        <v>47</v>
      </c>
      <c r="G213" s="9" t="s">
        <v>394</v>
      </c>
      <c r="H213" s="9" t="s">
        <v>395</v>
      </c>
      <c r="I213" s="9" t="s">
        <v>27</v>
      </c>
      <c r="J213" s="9">
        <v>1</v>
      </c>
      <c r="K213" s="9">
        <v>25</v>
      </c>
      <c r="L213" s="13">
        <f t="shared" si="12"/>
        <v>0.25</v>
      </c>
      <c r="M213" s="9" t="s">
        <v>28</v>
      </c>
      <c r="N213" s="9" t="s">
        <v>29</v>
      </c>
      <c r="O213" s="30" t="s">
        <v>473</v>
      </c>
      <c r="P213" s="30" t="s">
        <v>474</v>
      </c>
      <c r="Q213" s="9"/>
      <c r="R213" s="9"/>
      <c r="S213" s="9"/>
      <c r="T213" s="9" t="s">
        <v>32</v>
      </c>
      <c r="U213" s="9" t="s">
        <v>33</v>
      </c>
    </row>
    <row r="214" spans="1:21" ht="15.6" x14ac:dyDescent="0.3">
      <c r="A214" s="9" t="s">
        <v>479</v>
      </c>
      <c r="B214" s="9" t="s">
        <v>480</v>
      </c>
      <c r="C214" s="9" t="s">
        <v>22</v>
      </c>
      <c r="D214" s="10">
        <v>45911</v>
      </c>
      <c r="E214" s="9" t="s">
        <v>23</v>
      </c>
      <c r="F214" s="9" t="s">
        <v>481</v>
      </c>
      <c r="G214" s="9" t="s">
        <v>482</v>
      </c>
      <c r="H214" s="9" t="s">
        <v>483</v>
      </c>
      <c r="I214" s="9" t="s">
        <v>27</v>
      </c>
      <c r="J214" s="9">
        <v>1</v>
      </c>
      <c r="K214" s="9">
        <v>30</v>
      </c>
      <c r="L214" s="13">
        <f t="shared" si="12"/>
        <v>0.3</v>
      </c>
      <c r="M214" s="9" t="s">
        <v>28</v>
      </c>
      <c r="N214" s="9" t="s">
        <v>29</v>
      </c>
      <c r="O214" s="30" t="s">
        <v>484</v>
      </c>
      <c r="P214" s="30" t="s">
        <v>485</v>
      </c>
      <c r="Q214" s="9"/>
      <c r="R214" s="9"/>
      <c r="S214" s="9"/>
      <c r="T214" s="9" t="s">
        <v>32</v>
      </c>
      <c r="U214" s="9" t="s">
        <v>33</v>
      </c>
    </row>
    <row r="215" spans="1:21" ht="15.6" x14ac:dyDescent="0.3">
      <c r="A215" s="9" t="s">
        <v>479</v>
      </c>
      <c r="B215" s="9" t="s">
        <v>486</v>
      </c>
      <c r="C215" s="9" t="s">
        <v>22</v>
      </c>
      <c r="D215" s="10">
        <v>45911</v>
      </c>
      <c r="E215" s="9" t="s">
        <v>23</v>
      </c>
      <c r="F215" s="9" t="s">
        <v>24</v>
      </c>
      <c r="G215" s="9" t="s">
        <v>25</v>
      </c>
      <c r="H215" s="9" t="s">
        <v>26</v>
      </c>
      <c r="I215" s="9" t="s">
        <v>27</v>
      </c>
      <c r="J215" s="9">
        <v>1</v>
      </c>
      <c r="K215" s="9">
        <v>15</v>
      </c>
      <c r="L215" s="13">
        <f t="shared" si="12"/>
        <v>0.15</v>
      </c>
      <c r="M215" s="9" t="s">
        <v>28</v>
      </c>
      <c r="N215" s="9" t="s">
        <v>29</v>
      </c>
      <c r="O215" s="30" t="s">
        <v>484</v>
      </c>
      <c r="P215" s="30" t="s">
        <v>485</v>
      </c>
      <c r="Q215" s="9"/>
      <c r="R215" s="9"/>
      <c r="S215" s="9"/>
      <c r="T215" s="9" t="s">
        <v>32</v>
      </c>
      <c r="U215" s="9" t="s">
        <v>33</v>
      </c>
    </row>
    <row r="216" spans="1:21" ht="15.6" x14ac:dyDescent="0.3">
      <c r="A216" s="9" t="s">
        <v>479</v>
      </c>
      <c r="B216" s="9" t="s">
        <v>487</v>
      </c>
      <c r="C216" s="9" t="s">
        <v>22</v>
      </c>
      <c r="D216" s="10">
        <v>45911</v>
      </c>
      <c r="E216" s="9" t="s">
        <v>23</v>
      </c>
      <c r="F216" s="9" t="s">
        <v>36</v>
      </c>
      <c r="G216" s="9" t="s">
        <v>101</v>
      </c>
      <c r="H216" s="9" t="s">
        <v>102</v>
      </c>
      <c r="I216" s="9" t="s">
        <v>27</v>
      </c>
      <c r="J216" s="9">
        <v>1</v>
      </c>
      <c r="K216" s="9">
        <v>15</v>
      </c>
      <c r="L216" s="13">
        <f t="shared" si="12"/>
        <v>0.15</v>
      </c>
      <c r="M216" s="9" t="s">
        <v>28</v>
      </c>
      <c r="N216" s="9" t="s">
        <v>29</v>
      </c>
      <c r="O216" s="30" t="s">
        <v>484</v>
      </c>
      <c r="P216" s="30" t="s">
        <v>485</v>
      </c>
      <c r="Q216" s="9"/>
      <c r="R216" s="9"/>
      <c r="S216" s="9"/>
      <c r="T216" s="9" t="s">
        <v>32</v>
      </c>
      <c r="U216" s="9" t="s">
        <v>33</v>
      </c>
    </row>
    <row r="217" spans="1:21" ht="15.6" x14ac:dyDescent="0.3">
      <c r="A217" s="9" t="s">
        <v>479</v>
      </c>
      <c r="B217" s="9" t="s">
        <v>488</v>
      </c>
      <c r="C217" s="9" t="s">
        <v>22</v>
      </c>
      <c r="D217" s="10">
        <v>45911</v>
      </c>
      <c r="E217" s="9" t="s">
        <v>23</v>
      </c>
      <c r="F217" s="9" t="s">
        <v>42</v>
      </c>
      <c r="G217" s="9" t="s">
        <v>318</v>
      </c>
      <c r="H217" s="9" t="s">
        <v>319</v>
      </c>
      <c r="I217" s="9" t="s">
        <v>27</v>
      </c>
      <c r="J217" s="9">
        <v>1</v>
      </c>
      <c r="K217" s="9">
        <v>80</v>
      </c>
      <c r="L217" s="13">
        <f t="shared" si="12"/>
        <v>0.8</v>
      </c>
      <c r="M217" s="9" t="s">
        <v>28</v>
      </c>
      <c r="N217" s="9" t="s">
        <v>29</v>
      </c>
      <c r="O217" s="30" t="s">
        <v>484</v>
      </c>
      <c r="P217" s="30" t="s">
        <v>485</v>
      </c>
      <c r="Q217" s="9"/>
      <c r="R217" s="9"/>
      <c r="S217" s="9"/>
      <c r="T217" s="9" t="s">
        <v>32</v>
      </c>
      <c r="U217" s="9" t="s">
        <v>33</v>
      </c>
    </row>
    <row r="218" spans="1:21" ht="15.6" x14ac:dyDescent="0.3">
      <c r="A218" s="9" t="s">
        <v>479</v>
      </c>
      <c r="B218" s="9" t="s">
        <v>489</v>
      </c>
      <c r="C218" s="9" t="s">
        <v>22</v>
      </c>
      <c r="D218" s="10">
        <v>45911</v>
      </c>
      <c r="E218" s="9" t="s">
        <v>23</v>
      </c>
      <c r="F218" s="9" t="s">
        <v>47</v>
      </c>
      <c r="G218" s="9" t="s">
        <v>394</v>
      </c>
      <c r="H218" s="9" t="s">
        <v>395</v>
      </c>
      <c r="I218" s="9" t="s">
        <v>27</v>
      </c>
      <c r="J218" s="9">
        <v>1</v>
      </c>
      <c r="K218" s="9">
        <v>10</v>
      </c>
      <c r="L218" s="13">
        <f t="shared" si="12"/>
        <v>0.1</v>
      </c>
      <c r="M218" s="9" t="s">
        <v>28</v>
      </c>
      <c r="N218" s="9" t="s">
        <v>29</v>
      </c>
      <c r="O218" s="30" t="s">
        <v>484</v>
      </c>
      <c r="P218" s="30" t="s">
        <v>485</v>
      </c>
      <c r="Q218" s="9"/>
      <c r="R218" s="9"/>
      <c r="S218" s="9"/>
      <c r="T218" s="9" t="s">
        <v>32</v>
      </c>
      <c r="U218" s="9" t="s">
        <v>33</v>
      </c>
    </row>
    <row r="219" spans="1:21" ht="15.6" x14ac:dyDescent="0.3">
      <c r="A219" s="9" t="s">
        <v>490</v>
      </c>
      <c r="B219" s="9" t="s">
        <v>491</v>
      </c>
      <c r="C219" s="9" t="s">
        <v>22</v>
      </c>
      <c r="D219" s="10">
        <v>45911</v>
      </c>
      <c r="E219" s="9" t="s">
        <v>23</v>
      </c>
      <c r="F219" s="9" t="s">
        <v>42</v>
      </c>
      <c r="G219" s="9" t="s">
        <v>43</v>
      </c>
      <c r="H219" s="9" t="s">
        <v>44</v>
      </c>
      <c r="I219" s="9" t="s">
        <v>27</v>
      </c>
      <c r="J219" s="9">
        <v>1</v>
      </c>
      <c r="K219" s="9">
        <v>2</v>
      </c>
      <c r="L219" s="13">
        <f t="shared" si="12"/>
        <v>0.02</v>
      </c>
      <c r="M219" s="9" t="s">
        <v>28</v>
      </c>
      <c r="N219" s="9" t="s">
        <v>29</v>
      </c>
      <c r="O219" s="30" t="s">
        <v>399</v>
      </c>
      <c r="P219" s="30" t="s">
        <v>492</v>
      </c>
      <c r="Q219" s="9"/>
      <c r="R219" s="9"/>
      <c r="S219" s="9"/>
      <c r="T219" s="9" t="s">
        <v>32</v>
      </c>
      <c r="U219" s="9" t="s">
        <v>33</v>
      </c>
    </row>
    <row r="220" spans="1:21" ht="15.6" x14ac:dyDescent="0.3">
      <c r="A220" s="9" t="s">
        <v>490</v>
      </c>
      <c r="B220" s="9" t="s">
        <v>493</v>
      </c>
      <c r="C220" s="9" t="s">
        <v>22</v>
      </c>
      <c r="D220" s="10">
        <v>45911</v>
      </c>
      <c r="E220" s="9" t="s">
        <v>23</v>
      </c>
      <c r="F220" s="9" t="s">
        <v>42</v>
      </c>
      <c r="G220" s="9" t="s">
        <v>171</v>
      </c>
      <c r="H220" s="9" t="s">
        <v>355</v>
      </c>
      <c r="I220" s="9" t="s">
        <v>27</v>
      </c>
      <c r="J220" s="9">
        <v>1</v>
      </c>
      <c r="K220" s="9">
        <v>10</v>
      </c>
      <c r="L220" s="13">
        <f t="shared" si="12"/>
        <v>0.1</v>
      </c>
      <c r="M220" s="9" t="s">
        <v>28</v>
      </c>
      <c r="N220" s="9" t="s">
        <v>29</v>
      </c>
      <c r="O220" s="30" t="s">
        <v>399</v>
      </c>
      <c r="P220" s="30" t="s">
        <v>492</v>
      </c>
      <c r="Q220" s="9"/>
      <c r="R220" s="9"/>
      <c r="S220" s="9"/>
      <c r="T220" s="9" t="s">
        <v>32</v>
      </c>
      <c r="U220" s="9" t="s">
        <v>33</v>
      </c>
    </row>
    <row r="221" spans="1:21" ht="15.6" x14ac:dyDescent="0.3">
      <c r="A221" s="9" t="s">
        <v>490</v>
      </c>
      <c r="B221" s="9" t="s">
        <v>494</v>
      </c>
      <c r="C221" s="9" t="s">
        <v>22</v>
      </c>
      <c r="D221" s="10">
        <v>45911</v>
      </c>
      <c r="E221" s="9" t="s">
        <v>23</v>
      </c>
      <c r="F221" s="9" t="s">
        <v>24</v>
      </c>
      <c r="G221" s="9" t="s">
        <v>25</v>
      </c>
      <c r="H221" s="9" t="s">
        <v>26</v>
      </c>
      <c r="I221" s="9" t="s">
        <v>27</v>
      </c>
      <c r="J221" s="9">
        <v>1</v>
      </c>
      <c r="K221" s="9">
        <v>3</v>
      </c>
      <c r="L221" s="13">
        <f t="shared" si="12"/>
        <v>0.03</v>
      </c>
      <c r="M221" s="9" t="s">
        <v>28</v>
      </c>
      <c r="N221" s="9" t="s">
        <v>29</v>
      </c>
      <c r="O221" s="30" t="s">
        <v>399</v>
      </c>
      <c r="P221" s="30" t="s">
        <v>492</v>
      </c>
      <c r="Q221" s="9"/>
      <c r="R221" s="9"/>
      <c r="S221" s="9"/>
      <c r="T221" s="9" t="s">
        <v>32</v>
      </c>
      <c r="U221" s="9" t="s">
        <v>33</v>
      </c>
    </row>
    <row r="222" spans="1:21" ht="15.6" x14ac:dyDescent="0.3">
      <c r="A222" s="9" t="s">
        <v>490</v>
      </c>
      <c r="B222" s="9" t="s">
        <v>495</v>
      </c>
      <c r="C222" s="9" t="s">
        <v>22</v>
      </c>
      <c r="D222" s="10">
        <v>45911</v>
      </c>
      <c r="E222" s="9" t="s">
        <v>23</v>
      </c>
      <c r="F222" s="9" t="s">
        <v>36</v>
      </c>
      <c r="G222" s="9" t="s">
        <v>101</v>
      </c>
      <c r="H222" s="9" t="s">
        <v>102</v>
      </c>
      <c r="I222" s="9" t="s">
        <v>27</v>
      </c>
      <c r="J222" s="9">
        <v>1</v>
      </c>
      <c r="K222" s="9">
        <v>3</v>
      </c>
      <c r="L222" s="13">
        <f t="shared" si="12"/>
        <v>0.03</v>
      </c>
      <c r="M222" s="9" t="s">
        <v>28</v>
      </c>
      <c r="N222" s="9" t="s">
        <v>29</v>
      </c>
      <c r="O222" s="30" t="s">
        <v>399</v>
      </c>
      <c r="P222" s="30" t="s">
        <v>492</v>
      </c>
      <c r="Q222" s="9"/>
      <c r="R222" s="9"/>
      <c r="S222" s="9"/>
      <c r="T222" s="9" t="s">
        <v>32</v>
      </c>
      <c r="U222" s="9" t="s">
        <v>33</v>
      </c>
    </row>
    <row r="223" spans="1:21" ht="15.6" x14ac:dyDescent="0.3">
      <c r="A223" s="9" t="s">
        <v>490</v>
      </c>
      <c r="B223" s="9" t="s">
        <v>496</v>
      </c>
      <c r="C223" s="9" t="s">
        <v>22</v>
      </c>
      <c r="D223" s="10">
        <v>45911</v>
      </c>
      <c r="E223" s="9" t="s">
        <v>23</v>
      </c>
      <c r="F223" s="9" t="s">
        <v>42</v>
      </c>
      <c r="G223" s="9" t="s">
        <v>318</v>
      </c>
      <c r="H223" s="9" t="s">
        <v>319</v>
      </c>
      <c r="I223" s="9" t="s">
        <v>27</v>
      </c>
      <c r="J223" s="9">
        <v>1</v>
      </c>
      <c r="K223" s="9">
        <v>95</v>
      </c>
      <c r="L223" s="13">
        <f t="shared" si="12"/>
        <v>0.95</v>
      </c>
      <c r="M223" s="9" t="s">
        <v>28</v>
      </c>
      <c r="N223" s="9" t="s">
        <v>29</v>
      </c>
      <c r="O223" s="30" t="s">
        <v>399</v>
      </c>
      <c r="P223" s="30" t="s">
        <v>492</v>
      </c>
      <c r="Q223" s="9"/>
      <c r="R223" s="9"/>
      <c r="S223" s="9"/>
      <c r="T223" s="9" t="s">
        <v>32</v>
      </c>
      <c r="U223" s="9" t="s">
        <v>33</v>
      </c>
    </row>
    <row r="224" spans="1:21" ht="15.6" x14ac:dyDescent="0.3">
      <c r="A224" s="9" t="s">
        <v>497</v>
      </c>
      <c r="B224" s="9" t="s">
        <v>498</v>
      </c>
      <c r="C224" s="9" t="s">
        <v>22</v>
      </c>
      <c r="D224" s="10">
        <v>45911</v>
      </c>
      <c r="E224" s="9" t="s">
        <v>23</v>
      </c>
      <c r="F224" s="9" t="s">
        <v>42</v>
      </c>
      <c r="G224" s="9" t="s">
        <v>43</v>
      </c>
      <c r="H224" s="9" t="s">
        <v>44</v>
      </c>
      <c r="I224" s="9" t="s">
        <v>27</v>
      </c>
      <c r="J224" s="9">
        <v>1</v>
      </c>
      <c r="K224" s="9">
        <v>1</v>
      </c>
      <c r="L224" s="13">
        <f t="shared" si="12"/>
        <v>0.01</v>
      </c>
      <c r="M224" s="9" t="s">
        <v>28</v>
      </c>
      <c r="N224" s="9" t="s">
        <v>29</v>
      </c>
      <c r="O224" s="30" t="s">
        <v>372</v>
      </c>
      <c r="P224" s="30" t="s">
        <v>316</v>
      </c>
      <c r="Q224" s="9"/>
      <c r="R224" s="9"/>
      <c r="S224" s="9"/>
      <c r="T224" s="9" t="s">
        <v>32</v>
      </c>
      <c r="U224" s="9" t="s">
        <v>33</v>
      </c>
    </row>
    <row r="225" spans="1:21" ht="15.6" x14ac:dyDescent="0.3">
      <c r="A225" s="9" t="s">
        <v>497</v>
      </c>
      <c r="B225" s="9" t="s">
        <v>499</v>
      </c>
      <c r="C225" s="9" t="s">
        <v>22</v>
      </c>
      <c r="D225" s="10">
        <v>45911</v>
      </c>
      <c r="E225" s="9" t="s">
        <v>23</v>
      </c>
      <c r="F225" s="9" t="s">
        <v>42</v>
      </c>
      <c r="G225" s="9" t="s">
        <v>171</v>
      </c>
      <c r="H225" s="9" t="s">
        <v>355</v>
      </c>
      <c r="I225" s="9" t="s">
        <v>27</v>
      </c>
      <c r="J225" s="9">
        <v>1</v>
      </c>
      <c r="K225" s="9">
        <v>5</v>
      </c>
      <c r="L225" s="13">
        <f t="shared" si="12"/>
        <v>0.05</v>
      </c>
      <c r="M225" s="9" t="s">
        <v>28</v>
      </c>
      <c r="N225" s="9" t="s">
        <v>29</v>
      </c>
      <c r="O225" s="30" t="s">
        <v>372</v>
      </c>
      <c r="P225" s="30" t="s">
        <v>316</v>
      </c>
      <c r="Q225" s="9"/>
      <c r="R225" s="9"/>
      <c r="S225" s="9"/>
      <c r="T225" s="9" t="s">
        <v>32</v>
      </c>
      <c r="U225" s="9" t="s">
        <v>33</v>
      </c>
    </row>
    <row r="226" spans="1:21" ht="15.6" x14ac:dyDescent="0.3">
      <c r="A226" s="9" t="s">
        <v>497</v>
      </c>
      <c r="B226" s="9" t="s">
        <v>500</v>
      </c>
      <c r="C226" s="9" t="s">
        <v>22</v>
      </c>
      <c r="D226" s="10">
        <v>45911</v>
      </c>
      <c r="E226" s="9" t="s">
        <v>23</v>
      </c>
      <c r="F226" s="9" t="s">
        <v>36</v>
      </c>
      <c r="G226" s="9" t="s">
        <v>101</v>
      </c>
      <c r="H226" s="9" t="s">
        <v>102</v>
      </c>
      <c r="I226" s="9" t="s">
        <v>27</v>
      </c>
      <c r="J226" s="9">
        <v>1</v>
      </c>
      <c r="K226" s="9">
        <v>20</v>
      </c>
      <c r="L226" s="13">
        <f t="shared" si="12"/>
        <v>0.2</v>
      </c>
      <c r="M226" s="9" t="s">
        <v>28</v>
      </c>
      <c r="N226" s="9" t="s">
        <v>29</v>
      </c>
      <c r="O226" s="30" t="s">
        <v>372</v>
      </c>
      <c r="P226" s="30" t="s">
        <v>316</v>
      </c>
      <c r="Q226" s="9"/>
      <c r="R226" s="9"/>
      <c r="S226" s="9"/>
      <c r="T226" s="9" t="s">
        <v>32</v>
      </c>
      <c r="U226" s="9" t="s">
        <v>33</v>
      </c>
    </row>
    <row r="227" spans="1:21" ht="15.6" x14ac:dyDescent="0.3">
      <c r="A227" s="9" t="s">
        <v>497</v>
      </c>
      <c r="B227" s="9" t="s">
        <v>501</v>
      </c>
      <c r="C227" s="9" t="s">
        <v>22</v>
      </c>
      <c r="D227" s="10">
        <v>45911</v>
      </c>
      <c r="E227" s="9" t="s">
        <v>23</v>
      </c>
      <c r="F227" s="9" t="s">
        <v>24</v>
      </c>
      <c r="G227" s="9" t="s">
        <v>25</v>
      </c>
      <c r="H227" s="9" t="s">
        <v>26</v>
      </c>
      <c r="I227" s="9" t="s">
        <v>27</v>
      </c>
      <c r="J227" s="9">
        <v>1</v>
      </c>
      <c r="K227" s="9">
        <v>5</v>
      </c>
      <c r="L227" s="13">
        <f t="shared" si="12"/>
        <v>0.05</v>
      </c>
      <c r="M227" s="9" t="s">
        <v>28</v>
      </c>
      <c r="N227" s="9" t="s">
        <v>29</v>
      </c>
      <c r="O227" s="30" t="s">
        <v>372</v>
      </c>
      <c r="P227" s="30" t="s">
        <v>316</v>
      </c>
      <c r="Q227" s="9"/>
      <c r="R227" s="9"/>
      <c r="S227" s="9"/>
      <c r="T227" s="9" t="s">
        <v>32</v>
      </c>
      <c r="U227" s="9" t="s">
        <v>33</v>
      </c>
    </row>
    <row r="228" spans="1:21" ht="15.6" x14ac:dyDescent="0.3">
      <c r="A228" s="9" t="s">
        <v>497</v>
      </c>
      <c r="B228" s="9" t="s">
        <v>502</v>
      </c>
      <c r="C228" s="9" t="s">
        <v>22</v>
      </c>
      <c r="D228" s="10">
        <v>45911</v>
      </c>
      <c r="E228" s="9" t="s">
        <v>23</v>
      </c>
      <c r="F228" s="9" t="s">
        <v>42</v>
      </c>
      <c r="G228" s="9" t="s">
        <v>318</v>
      </c>
      <c r="H228" s="9" t="s">
        <v>319</v>
      </c>
      <c r="I228" s="9" t="s">
        <v>27</v>
      </c>
      <c r="J228" s="9">
        <v>1</v>
      </c>
      <c r="K228" s="9">
        <v>95</v>
      </c>
      <c r="L228" s="13">
        <f t="shared" si="12"/>
        <v>0.95</v>
      </c>
      <c r="M228" s="9" t="s">
        <v>28</v>
      </c>
      <c r="N228" s="9" t="s">
        <v>29</v>
      </c>
      <c r="O228" s="30" t="s">
        <v>372</v>
      </c>
      <c r="P228" s="30" t="s">
        <v>316</v>
      </c>
      <c r="Q228" s="9"/>
      <c r="R228" s="9"/>
      <c r="S228" s="9"/>
      <c r="T228" s="9" t="s">
        <v>32</v>
      </c>
      <c r="U228" s="9" t="s">
        <v>33</v>
      </c>
    </row>
    <row r="229" spans="1:21" ht="15.6" x14ac:dyDescent="0.3">
      <c r="A229" s="9" t="s">
        <v>497</v>
      </c>
      <c r="B229" s="9" t="s">
        <v>503</v>
      </c>
      <c r="C229" s="9" t="s">
        <v>22</v>
      </c>
      <c r="D229" s="10">
        <v>45911</v>
      </c>
      <c r="E229" s="9" t="s">
        <v>23</v>
      </c>
      <c r="F229" s="9" t="s">
        <v>42</v>
      </c>
      <c r="G229" s="9" t="s">
        <v>358</v>
      </c>
      <c r="H229" s="9" t="s">
        <v>359</v>
      </c>
      <c r="I229" s="9" t="s">
        <v>309</v>
      </c>
      <c r="J229" s="9">
        <v>1</v>
      </c>
      <c r="K229" s="9">
        <v>15</v>
      </c>
      <c r="L229" s="13">
        <f t="shared" si="12"/>
        <v>0.15</v>
      </c>
      <c r="M229" s="9" t="s">
        <v>28</v>
      </c>
      <c r="N229" s="9" t="s">
        <v>29</v>
      </c>
      <c r="O229" s="30" t="s">
        <v>372</v>
      </c>
      <c r="P229" s="30" t="s">
        <v>316</v>
      </c>
      <c r="Q229" s="9"/>
      <c r="R229" s="9"/>
      <c r="S229" s="9"/>
      <c r="T229" s="9" t="s">
        <v>32</v>
      </c>
      <c r="U229" s="9" t="s">
        <v>33</v>
      </c>
    </row>
    <row r="230" spans="1:21" ht="15.6" x14ac:dyDescent="0.3">
      <c r="A230" s="9" t="s">
        <v>504</v>
      </c>
      <c r="B230" s="9" t="s">
        <v>505</v>
      </c>
      <c r="C230" s="9" t="s">
        <v>22</v>
      </c>
      <c r="D230" s="10">
        <v>45911</v>
      </c>
      <c r="E230" s="9" t="s">
        <v>23</v>
      </c>
      <c r="F230" s="9" t="s">
        <v>481</v>
      </c>
      <c r="G230" s="9" t="s">
        <v>482</v>
      </c>
      <c r="H230" s="9" t="s">
        <v>483</v>
      </c>
      <c r="I230" s="9" t="s">
        <v>27</v>
      </c>
      <c r="J230" s="9">
        <v>1</v>
      </c>
      <c r="K230" s="9">
        <v>25</v>
      </c>
      <c r="L230" s="13">
        <f t="shared" si="12"/>
        <v>0.25</v>
      </c>
      <c r="M230" s="9" t="s">
        <v>28</v>
      </c>
      <c r="N230" s="9" t="s">
        <v>29</v>
      </c>
      <c r="O230" s="30" t="s">
        <v>380</v>
      </c>
      <c r="P230" s="30" t="s">
        <v>506</v>
      </c>
      <c r="Q230" s="9"/>
      <c r="R230" s="9"/>
      <c r="S230" s="9"/>
      <c r="T230" s="9" t="s">
        <v>32</v>
      </c>
      <c r="U230" s="9" t="s">
        <v>33</v>
      </c>
    </row>
    <row r="231" spans="1:21" ht="15.6" x14ac:dyDescent="0.3">
      <c r="A231" s="9" t="s">
        <v>504</v>
      </c>
      <c r="B231" s="9" t="s">
        <v>507</v>
      </c>
      <c r="C231" s="9" t="s">
        <v>22</v>
      </c>
      <c r="D231" s="10">
        <v>45911</v>
      </c>
      <c r="E231" s="9" t="s">
        <v>23</v>
      </c>
      <c r="F231" s="9" t="s">
        <v>36</v>
      </c>
      <c r="G231" s="9" t="s">
        <v>101</v>
      </c>
      <c r="H231" s="9" t="s">
        <v>102</v>
      </c>
      <c r="I231" s="9" t="s">
        <v>27</v>
      </c>
      <c r="J231" s="9">
        <v>1</v>
      </c>
      <c r="K231" s="9">
        <v>15</v>
      </c>
      <c r="L231" s="13">
        <f t="shared" si="12"/>
        <v>0.15</v>
      </c>
      <c r="M231" s="9" t="s">
        <v>28</v>
      </c>
      <c r="N231" s="9" t="s">
        <v>29</v>
      </c>
      <c r="O231" s="30" t="s">
        <v>380</v>
      </c>
      <c r="P231" s="30" t="s">
        <v>506</v>
      </c>
      <c r="Q231" s="9"/>
      <c r="R231" s="9"/>
      <c r="S231" s="9"/>
      <c r="T231" s="9" t="s">
        <v>32</v>
      </c>
      <c r="U231" s="9" t="s">
        <v>33</v>
      </c>
    </row>
    <row r="232" spans="1:21" ht="15.6" x14ac:dyDescent="0.3">
      <c r="A232" s="9" t="s">
        <v>504</v>
      </c>
      <c r="B232" s="9" t="s">
        <v>508</v>
      </c>
      <c r="C232" s="9" t="s">
        <v>22</v>
      </c>
      <c r="D232" s="10">
        <v>45911</v>
      </c>
      <c r="E232" s="9" t="s">
        <v>23</v>
      </c>
      <c r="F232" s="9" t="s">
        <v>42</v>
      </c>
      <c r="G232" s="9" t="s">
        <v>358</v>
      </c>
      <c r="H232" s="9" t="s">
        <v>359</v>
      </c>
      <c r="I232" s="9" t="s">
        <v>309</v>
      </c>
      <c r="J232" s="9">
        <v>1</v>
      </c>
      <c r="K232" s="9">
        <v>2</v>
      </c>
      <c r="L232" s="13">
        <f t="shared" si="12"/>
        <v>0.02</v>
      </c>
      <c r="M232" s="9" t="s">
        <v>28</v>
      </c>
      <c r="N232" s="9" t="s">
        <v>29</v>
      </c>
      <c r="O232" s="30" t="s">
        <v>380</v>
      </c>
      <c r="P232" s="30" t="s">
        <v>506</v>
      </c>
      <c r="Q232" s="9"/>
      <c r="R232" s="9"/>
      <c r="S232" s="9"/>
      <c r="T232" s="9" t="s">
        <v>32</v>
      </c>
      <c r="U232" s="9" t="s">
        <v>33</v>
      </c>
    </row>
    <row r="233" spans="1:21" ht="15.6" x14ac:dyDescent="0.3">
      <c r="A233" s="9" t="s">
        <v>504</v>
      </c>
      <c r="B233" s="9" t="s">
        <v>509</v>
      </c>
      <c r="C233" s="9" t="s">
        <v>22</v>
      </c>
      <c r="D233" s="10">
        <v>45911</v>
      </c>
      <c r="E233" s="9" t="s">
        <v>23</v>
      </c>
      <c r="F233" s="9" t="s">
        <v>42</v>
      </c>
      <c r="G233" s="9" t="s">
        <v>171</v>
      </c>
      <c r="H233" s="9" t="s">
        <v>355</v>
      </c>
      <c r="I233" s="9" t="s">
        <v>27</v>
      </c>
      <c r="J233" s="9">
        <v>1</v>
      </c>
      <c r="K233" s="9">
        <v>5</v>
      </c>
      <c r="L233" s="13">
        <f t="shared" si="12"/>
        <v>0.05</v>
      </c>
      <c r="M233" s="9" t="s">
        <v>28</v>
      </c>
      <c r="N233" s="9" t="s">
        <v>29</v>
      </c>
      <c r="O233" s="30" t="s">
        <v>380</v>
      </c>
      <c r="P233" s="30" t="s">
        <v>506</v>
      </c>
      <c r="Q233" s="9"/>
      <c r="R233" s="9"/>
      <c r="S233" s="9"/>
      <c r="T233" s="9" t="s">
        <v>32</v>
      </c>
      <c r="U233" s="9" t="s">
        <v>33</v>
      </c>
    </row>
    <row r="234" spans="1:21" ht="15.6" x14ac:dyDescent="0.3">
      <c r="A234" s="9" t="s">
        <v>504</v>
      </c>
      <c r="B234" s="9" t="s">
        <v>510</v>
      </c>
      <c r="C234" s="9" t="s">
        <v>22</v>
      </c>
      <c r="D234" s="10">
        <v>45911</v>
      </c>
      <c r="E234" s="9" t="s">
        <v>23</v>
      </c>
      <c r="F234" s="9" t="s">
        <v>42</v>
      </c>
      <c r="G234" s="9" t="s">
        <v>318</v>
      </c>
      <c r="H234" s="9" t="s">
        <v>319</v>
      </c>
      <c r="I234" s="9" t="s">
        <v>27</v>
      </c>
      <c r="J234" s="9">
        <v>1</v>
      </c>
      <c r="K234" s="9">
        <v>40</v>
      </c>
      <c r="L234" s="13">
        <f t="shared" si="12"/>
        <v>0.4</v>
      </c>
      <c r="M234" s="9" t="s">
        <v>28</v>
      </c>
      <c r="N234" s="9" t="s">
        <v>29</v>
      </c>
      <c r="O234" s="30" t="s">
        <v>380</v>
      </c>
      <c r="P234" s="30" t="s">
        <v>506</v>
      </c>
      <c r="Q234" s="9"/>
      <c r="R234" s="9"/>
      <c r="S234" s="9"/>
      <c r="T234" s="9" t="s">
        <v>32</v>
      </c>
      <c r="U234" s="9" t="s">
        <v>33</v>
      </c>
    </row>
    <row r="235" spans="1:21" ht="15.6" x14ac:dyDescent="0.3">
      <c r="A235" s="9" t="s">
        <v>511</v>
      </c>
      <c r="B235" s="9" t="s">
        <v>512</v>
      </c>
      <c r="C235" s="9" t="s">
        <v>22</v>
      </c>
      <c r="D235" s="10">
        <v>45911</v>
      </c>
      <c r="E235" s="9" t="s">
        <v>23</v>
      </c>
      <c r="F235" s="9" t="s">
        <v>42</v>
      </c>
      <c r="G235" s="9" t="s">
        <v>171</v>
      </c>
      <c r="H235" s="9" t="s">
        <v>355</v>
      </c>
      <c r="I235" s="9" t="s">
        <v>27</v>
      </c>
      <c r="J235" s="9">
        <v>1</v>
      </c>
      <c r="K235" s="9">
        <v>5</v>
      </c>
      <c r="L235" s="13">
        <f t="shared" si="12"/>
        <v>0.05</v>
      </c>
      <c r="M235" s="9" t="s">
        <v>28</v>
      </c>
      <c r="N235" s="9" t="s">
        <v>29</v>
      </c>
      <c r="O235" s="30" t="s">
        <v>513</v>
      </c>
      <c r="P235" s="30" t="s">
        <v>514</v>
      </c>
      <c r="Q235" s="9"/>
      <c r="R235" s="9"/>
      <c r="S235" s="9"/>
      <c r="T235" s="9" t="s">
        <v>32</v>
      </c>
      <c r="U235" s="9" t="s">
        <v>33</v>
      </c>
    </row>
    <row r="236" spans="1:21" ht="15.6" x14ac:dyDescent="0.3">
      <c r="A236" s="9" t="s">
        <v>511</v>
      </c>
      <c r="B236" s="9" t="s">
        <v>515</v>
      </c>
      <c r="C236" s="9" t="s">
        <v>22</v>
      </c>
      <c r="D236" s="10">
        <v>45911</v>
      </c>
      <c r="E236" s="9" t="s">
        <v>23</v>
      </c>
      <c r="F236" s="9" t="s">
        <v>42</v>
      </c>
      <c r="G236" s="9" t="s">
        <v>261</v>
      </c>
      <c r="H236" s="9" t="s">
        <v>321</v>
      </c>
      <c r="I236" s="9" t="s">
        <v>27</v>
      </c>
      <c r="J236" s="9">
        <v>1</v>
      </c>
      <c r="K236" s="9">
        <v>2</v>
      </c>
      <c r="L236" s="13">
        <f t="shared" si="12"/>
        <v>0.02</v>
      </c>
      <c r="M236" s="9" t="s">
        <v>28</v>
      </c>
      <c r="N236" s="9" t="s">
        <v>29</v>
      </c>
      <c r="O236" s="30" t="s">
        <v>513</v>
      </c>
      <c r="P236" s="30" t="s">
        <v>514</v>
      </c>
      <c r="Q236" s="9"/>
      <c r="R236" s="9"/>
      <c r="S236" s="9"/>
      <c r="T236" s="9" t="s">
        <v>32</v>
      </c>
      <c r="U236" s="9" t="s">
        <v>33</v>
      </c>
    </row>
    <row r="237" spans="1:21" ht="15.6" x14ac:dyDescent="0.3">
      <c r="A237" s="9" t="s">
        <v>511</v>
      </c>
      <c r="B237" s="9" t="s">
        <v>516</v>
      </c>
      <c r="C237" s="9" t="s">
        <v>22</v>
      </c>
      <c r="D237" s="10">
        <v>45911</v>
      </c>
      <c r="E237" s="9" t="s">
        <v>23</v>
      </c>
      <c r="F237" s="9" t="s">
        <v>42</v>
      </c>
      <c r="G237" s="9" t="s">
        <v>43</v>
      </c>
      <c r="H237" s="9" t="s">
        <v>44</v>
      </c>
      <c r="I237" s="9" t="s">
        <v>27</v>
      </c>
      <c r="J237" s="9">
        <v>1</v>
      </c>
      <c r="K237" s="9">
        <v>2</v>
      </c>
      <c r="L237" s="13">
        <f t="shared" si="12"/>
        <v>0.02</v>
      </c>
      <c r="M237" s="9" t="s">
        <v>28</v>
      </c>
      <c r="N237" s="9" t="s">
        <v>29</v>
      </c>
      <c r="O237" s="30" t="s">
        <v>513</v>
      </c>
      <c r="P237" s="30" t="s">
        <v>514</v>
      </c>
      <c r="Q237" s="9"/>
      <c r="R237" s="9"/>
      <c r="S237" s="9"/>
      <c r="T237" s="9" t="s">
        <v>32</v>
      </c>
      <c r="U237" s="9" t="s">
        <v>33</v>
      </c>
    </row>
    <row r="238" spans="1:21" ht="15.6" x14ac:dyDescent="0.3">
      <c r="A238" s="9" t="s">
        <v>511</v>
      </c>
      <c r="B238" s="9" t="s">
        <v>517</v>
      </c>
      <c r="C238" s="9" t="s">
        <v>22</v>
      </c>
      <c r="D238" s="10">
        <v>45911</v>
      </c>
      <c r="E238" s="9" t="s">
        <v>23</v>
      </c>
      <c r="F238" s="9" t="s">
        <v>42</v>
      </c>
      <c r="G238" s="9" t="s">
        <v>318</v>
      </c>
      <c r="H238" s="9" t="s">
        <v>319</v>
      </c>
      <c r="I238" s="9" t="s">
        <v>27</v>
      </c>
      <c r="J238" s="9">
        <v>1</v>
      </c>
      <c r="K238" s="9">
        <v>100</v>
      </c>
      <c r="L238" s="13">
        <f t="shared" si="12"/>
        <v>1</v>
      </c>
      <c r="M238" s="9" t="s">
        <v>28</v>
      </c>
      <c r="N238" s="9" t="s">
        <v>29</v>
      </c>
      <c r="O238" s="30" t="s">
        <v>513</v>
      </c>
      <c r="P238" s="30" t="s">
        <v>514</v>
      </c>
      <c r="Q238" s="9"/>
      <c r="R238" s="9"/>
      <c r="S238" s="9"/>
      <c r="T238" s="9" t="s">
        <v>32</v>
      </c>
      <c r="U238" s="9" t="s">
        <v>33</v>
      </c>
    </row>
    <row r="239" spans="1:21" ht="15.6" x14ac:dyDescent="0.3">
      <c r="A239" s="9" t="s">
        <v>511</v>
      </c>
      <c r="B239" s="9" t="s">
        <v>518</v>
      </c>
      <c r="C239" s="9" t="s">
        <v>22</v>
      </c>
      <c r="D239" s="10">
        <v>45911</v>
      </c>
      <c r="E239" s="9" t="s">
        <v>23</v>
      </c>
      <c r="F239" s="9" t="s">
        <v>42</v>
      </c>
      <c r="G239" s="9" t="s">
        <v>358</v>
      </c>
      <c r="H239" s="9" t="s">
        <v>359</v>
      </c>
      <c r="I239" s="9" t="s">
        <v>309</v>
      </c>
      <c r="J239" s="9">
        <v>1</v>
      </c>
      <c r="K239" s="9">
        <v>5</v>
      </c>
      <c r="L239" s="13">
        <f t="shared" si="12"/>
        <v>0.05</v>
      </c>
      <c r="M239" s="9" t="s">
        <v>28</v>
      </c>
      <c r="N239" s="9" t="s">
        <v>29</v>
      </c>
      <c r="O239" s="30" t="s">
        <v>513</v>
      </c>
      <c r="P239" s="30" t="s">
        <v>514</v>
      </c>
      <c r="Q239" s="9"/>
      <c r="R239" s="9"/>
      <c r="S239" s="9"/>
      <c r="T239" s="9" t="s">
        <v>32</v>
      </c>
      <c r="U239" s="9" t="s">
        <v>33</v>
      </c>
    </row>
    <row r="240" spans="1:21" ht="15.6" x14ac:dyDescent="0.3">
      <c r="J240">
        <f>SUM(J2:J239)</f>
        <v>238</v>
      </c>
      <c r="K240">
        <f>SUM(K2:K239)</f>
        <v>9247</v>
      </c>
      <c r="L240" s="13"/>
    </row>
  </sheetData>
  <sortState xmlns:xlrd2="http://schemas.microsoft.com/office/spreadsheetml/2017/richdata2" ref="V3:Y26">
    <sortCondition ref="V3:V26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F0F598-AC8A-40AE-B6BC-230C25B38B29}">
  <dimension ref="A1:Z55"/>
  <sheetViews>
    <sheetView topLeftCell="H1" zoomScale="85" workbookViewId="0">
      <selection activeCell="W3" sqref="W3"/>
    </sheetView>
  </sheetViews>
  <sheetFormatPr defaultRowHeight="14.4" x14ac:dyDescent="0.3"/>
  <cols>
    <col min="1" max="1" width="8.77734375" bestFit="1" customWidth="1"/>
    <col min="2" max="4" width="0" hidden="1" customWidth="1"/>
    <col min="5" max="5" width="9.77734375" bestFit="1" customWidth="1"/>
    <col min="6" max="6" width="13.77734375" bestFit="1" customWidth="1"/>
    <col min="7" max="7" width="25.6640625" bestFit="1" customWidth="1"/>
    <col min="8" max="8" width="30.5546875" bestFit="1" customWidth="1"/>
    <col min="9" max="9" width="13.21875" bestFit="1" customWidth="1"/>
    <col min="10" max="10" width="16" bestFit="1" customWidth="1"/>
    <col min="11" max="11" width="18" bestFit="1" customWidth="1"/>
    <col min="12" max="12" width="22.5546875" bestFit="1" customWidth="1"/>
    <col min="13" max="13" width="17" bestFit="1" customWidth="1"/>
    <col min="14" max="20" width="0" hidden="1" customWidth="1"/>
    <col min="22" max="22" width="20.44140625" bestFit="1" customWidth="1"/>
    <col min="25" max="25" width="22" bestFit="1" customWidth="1"/>
    <col min="26" max="26" width="6.6640625" bestFit="1" customWidth="1"/>
  </cols>
  <sheetData>
    <row r="1" spans="1:26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5" t="s">
        <v>15</v>
      </c>
      <c r="Q1" s="6" t="s">
        <v>16</v>
      </c>
      <c r="R1" s="6" t="s">
        <v>17</v>
      </c>
      <c r="S1" s="7" t="s">
        <v>18</v>
      </c>
      <c r="T1" s="8" t="s">
        <v>19</v>
      </c>
    </row>
    <row r="2" spans="1:26" ht="17.399999999999999" x14ac:dyDescent="0.3">
      <c r="A2" s="9" t="s">
        <v>620</v>
      </c>
      <c r="B2" s="9" t="s">
        <v>621</v>
      </c>
      <c r="C2" s="9" t="s">
        <v>524</v>
      </c>
      <c r="D2" s="10">
        <v>45910</v>
      </c>
      <c r="E2" s="9" t="s">
        <v>525</v>
      </c>
      <c r="F2" s="9" t="s">
        <v>526</v>
      </c>
      <c r="G2" s="9" t="s">
        <v>622</v>
      </c>
      <c r="H2" s="9" t="s">
        <v>623</v>
      </c>
      <c r="I2" s="9" t="s">
        <v>529</v>
      </c>
      <c r="J2" s="9">
        <v>1</v>
      </c>
      <c r="K2" s="9">
        <v>1</v>
      </c>
      <c r="L2" s="9" t="s">
        <v>530</v>
      </c>
      <c r="M2" s="9" t="s">
        <v>531</v>
      </c>
      <c r="N2" s="32" t="s">
        <v>624</v>
      </c>
      <c r="O2" s="32" t="s">
        <v>625</v>
      </c>
      <c r="P2" s="9"/>
      <c r="Q2" s="9"/>
      <c r="R2" s="9"/>
      <c r="S2" s="9" t="s">
        <v>32</v>
      </c>
      <c r="T2" s="9" t="s">
        <v>534</v>
      </c>
      <c r="V2" t="s">
        <v>519</v>
      </c>
      <c r="W2" s="31" t="s">
        <v>520</v>
      </c>
      <c r="X2" s="31"/>
      <c r="Y2" t="s">
        <v>521</v>
      </c>
      <c r="Z2" t="s">
        <v>520</v>
      </c>
    </row>
    <row r="3" spans="1:26" ht="17.399999999999999" x14ac:dyDescent="0.3">
      <c r="A3" s="9" t="s">
        <v>620</v>
      </c>
      <c r="B3" s="9" t="s">
        <v>626</v>
      </c>
      <c r="C3" s="9" t="s">
        <v>524</v>
      </c>
      <c r="D3" s="10">
        <v>45910</v>
      </c>
      <c r="E3" s="9" t="s">
        <v>525</v>
      </c>
      <c r="F3" s="9" t="s">
        <v>526</v>
      </c>
      <c r="G3" s="9" t="s">
        <v>562</v>
      </c>
      <c r="H3" s="9" t="s">
        <v>563</v>
      </c>
      <c r="I3" s="9" t="s">
        <v>529</v>
      </c>
      <c r="J3" s="9">
        <v>2</v>
      </c>
      <c r="K3" s="9">
        <v>2</v>
      </c>
      <c r="L3" s="9" t="s">
        <v>530</v>
      </c>
      <c r="M3" s="9" t="s">
        <v>531</v>
      </c>
      <c r="N3" s="32" t="s">
        <v>624</v>
      </c>
      <c r="O3" s="32" t="s">
        <v>625</v>
      </c>
      <c r="P3" s="9"/>
      <c r="Q3" s="9"/>
      <c r="R3" s="9"/>
      <c r="S3" s="9" t="s">
        <v>32</v>
      </c>
      <c r="T3" s="9" t="s">
        <v>534</v>
      </c>
      <c r="V3" t="str" cm="1">
        <f t="array" ref="V3:V25">_xlfn.UNIQUE($H$2:$H$29)</f>
        <v xml:space="preserve">Northern_rustic </v>
      </c>
      <c r="W3">
        <f>SUMIF($H$2:$H$29, V3, $J$2:$J$29)</f>
        <v>1</v>
      </c>
      <c r="Y3" t="str" cm="1">
        <f t="array" ref="Y3:Y22">_xlfn.UNIQUE($H$30:$H$54)</f>
        <v xml:space="preserve">Square_spot_rustic </v>
      </c>
      <c r="Z3">
        <f>SUMIF($H$30:$H$54, Y3, $J$30:$J$54)</f>
        <v>12</v>
      </c>
    </row>
    <row r="4" spans="1:26" ht="17.399999999999999" x14ac:dyDescent="0.3">
      <c r="A4" s="9" t="s">
        <v>620</v>
      </c>
      <c r="B4" s="9" t="s">
        <v>627</v>
      </c>
      <c r="C4" s="9" t="s">
        <v>524</v>
      </c>
      <c r="D4" s="10">
        <v>45910</v>
      </c>
      <c r="E4" s="9" t="s">
        <v>525</v>
      </c>
      <c r="F4" s="9" t="s">
        <v>526</v>
      </c>
      <c r="G4" s="9" t="s">
        <v>1000</v>
      </c>
      <c r="H4" s="9" t="s">
        <v>537</v>
      </c>
      <c r="I4" s="9" t="s">
        <v>529</v>
      </c>
      <c r="J4" s="9">
        <v>2</v>
      </c>
      <c r="K4" s="9">
        <v>2</v>
      </c>
      <c r="L4" s="9" t="s">
        <v>530</v>
      </c>
      <c r="M4" s="9" t="s">
        <v>531</v>
      </c>
      <c r="N4" s="32" t="s">
        <v>624</v>
      </c>
      <c r="O4" s="32" t="s">
        <v>625</v>
      </c>
      <c r="P4" s="9"/>
      <c r="Q4" s="9"/>
      <c r="R4" s="9"/>
      <c r="S4" s="9" t="s">
        <v>32</v>
      </c>
      <c r="T4" s="9" t="s">
        <v>534</v>
      </c>
      <c r="V4" t="str">
        <v>Small_wainscot</v>
      </c>
      <c r="W4">
        <f t="shared" ref="W4:W25" si="0">SUMIF($H$2:$H$29, V4, $J$2:$J$29)</f>
        <v>2</v>
      </c>
      <c r="Y4" t="str">
        <v>Green_carpet_moth</v>
      </c>
      <c r="Z4">
        <f t="shared" ref="Z4:Z22" si="1">SUMIF($H$30:$H$54, Y4, $J$30:$J$54)</f>
        <v>3</v>
      </c>
    </row>
    <row r="5" spans="1:26" ht="17.399999999999999" x14ac:dyDescent="0.3">
      <c r="A5" s="9" t="s">
        <v>620</v>
      </c>
      <c r="B5" s="9" t="s">
        <v>628</v>
      </c>
      <c r="C5" s="9" t="s">
        <v>524</v>
      </c>
      <c r="D5" s="10">
        <v>45910</v>
      </c>
      <c r="E5" s="9" t="s">
        <v>525</v>
      </c>
      <c r="F5" s="9" t="s">
        <v>542</v>
      </c>
      <c r="G5" s="9" t="s">
        <v>629</v>
      </c>
      <c r="H5" s="9" t="s">
        <v>614</v>
      </c>
      <c r="I5" s="9" t="s">
        <v>609</v>
      </c>
      <c r="J5" s="9">
        <v>3</v>
      </c>
      <c r="K5" s="9">
        <v>3</v>
      </c>
      <c r="L5" s="9" t="s">
        <v>530</v>
      </c>
      <c r="M5" s="9" t="s">
        <v>531</v>
      </c>
      <c r="N5" s="32" t="s">
        <v>624</v>
      </c>
      <c r="O5" s="32" t="s">
        <v>625</v>
      </c>
      <c r="P5" s="9"/>
      <c r="Q5" s="9"/>
      <c r="R5" s="9"/>
      <c r="S5" s="9" t="s">
        <v>32</v>
      </c>
      <c r="T5" s="9" t="s">
        <v>534</v>
      </c>
      <c r="V5" t="str">
        <v xml:space="preserve">Square_spot_rustic </v>
      </c>
      <c r="W5">
        <f t="shared" si="0"/>
        <v>10</v>
      </c>
      <c r="Y5" t="str">
        <v xml:space="preserve">Heath_rustic </v>
      </c>
      <c r="Z5">
        <f t="shared" si="1"/>
        <v>1</v>
      </c>
    </row>
    <row r="6" spans="1:26" ht="17.399999999999999" x14ac:dyDescent="0.3">
      <c r="A6" s="9" t="s">
        <v>620</v>
      </c>
      <c r="B6" s="9" t="s">
        <v>630</v>
      </c>
      <c r="C6" s="9" t="s">
        <v>524</v>
      </c>
      <c r="D6" s="10">
        <v>45910</v>
      </c>
      <c r="E6" s="9" t="s">
        <v>525</v>
      </c>
      <c r="F6" s="9" t="s">
        <v>631</v>
      </c>
      <c r="G6" s="9" t="s">
        <v>632</v>
      </c>
      <c r="H6" s="9" t="s">
        <v>633</v>
      </c>
      <c r="I6" s="9" t="s">
        <v>634</v>
      </c>
      <c r="J6" s="9">
        <v>1</v>
      </c>
      <c r="K6" s="9">
        <v>1</v>
      </c>
      <c r="L6" s="9" t="s">
        <v>530</v>
      </c>
      <c r="M6" s="9" t="s">
        <v>531</v>
      </c>
      <c r="N6" s="32" t="s">
        <v>624</v>
      </c>
      <c r="O6" s="32" t="s">
        <v>625</v>
      </c>
      <c r="P6" s="9"/>
      <c r="Q6" s="9"/>
      <c r="R6" s="9"/>
      <c r="S6" s="9" t="s">
        <v>32</v>
      </c>
      <c r="T6" s="9" t="s">
        <v>534</v>
      </c>
      <c r="V6" t="str">
        <v xml:space="preserve">Crane_fly </v>
      </c>
      <c r="W6">
        <f t="shared" si="0"/>
        <v>8</v>
      </c>
      <c r="Y6" t="str">
        <v>Chestnut_moth</v>
      </c>
      <c r="Z6">
        <f t="shared" si="1"/>
        <v>1</v>
      </c>
    </row>
    <row r="7" spans="1:26" ht="17.399999999999999" x14ac:dyDescent="0.3">
      <c r="A7" s="9" t="s">
        <v>620</v>
      </c>
      <c r="B7" s="9" t="s">
        <v>635</v>
      </c>
      <c r="C7" s="9" t="s">
        <v>524</v>
      </c>
      <c r="D7" s="10">
        <v>45910</v>
      </c>
      <c r="E7" s="9" t="s">
        <v>525</v>
      </c>
      <c r="F7" s="9" t="s">
        <v>636</v>
      </c>
      <c r="G7" s="9" t="s">
        <v>637</v>
      </c>
      <c r="H7" s="9" t="s">
        <v>638</v>
      </c>
      <c r="I7" s="9" t="s">
        <v>609</v>
      </c>
      <c r="J7" s="9">
        <v>1</v>
      </c>
      <c r="K7" s="9">
        <v>1</v>
      </c>
      <c r="L7" s="9" t="s">
        <v>530</v>
      </c>
      <c r="M7" s="9" t="s">
        <v>531</v>
      </c>
      <c r="N7" s="32" t="s">
        <v>624</v>
      </c>
      <c r="O7" s="32" t="s">
        <v>625</v>
      </c>
      <c r="P7" s="9"/>
      <c r="Q7" s="9"/>
      <c r="R7" s="9"/>
      <c r="S7" s="9" t="s">
        <v>32</v>
      </c>
      <c r="T7" s="9" t="s">
        <v>534</v>
      </c>
      <c r="V7" t="str">
        <v>Money_spider</v>
      </c>
      <c r="W7">
        <f t="shared" si="0"/>
        <v>1</v>
      </c>
      <c r="Y7" t="str">
        <v>Pink_barred_sallow_moth</v>
      </c>
      <c r="Z7">
        <f t="shared" si="1"/>
        <v>1</v>
      </c>
    </row>
    <row r="8" spans="1:26" ht="17.399999999999999" x14ac:dyDescent="0.3">
      <c r="A8" s="9" t="s">
        <v>620</v>
      </c>
      <c r="B8" s="9" t="s">
        <v>639</v>
      </c>
      <c r="C8" s="9" t="s">
        <v>524</v>
      </c>
      <c r="D8" s="10">
        <v>45910</v>
      </c>
      <c r="E8" s="9" t="s">
        <v>525</v>
      </c>
      <c r="F8" s="9" t="s">
        <v>526</v>
      </c>
      <c r="G8" s="9" t="s">
        <v>640</v>
      </c>
      <c r="H8" s="9" t="s">
        <v>641</v>
      </c>
      <c r="I8" s="9" t="s">
        <v>529</v>
      </c>
      <c r="J8" s="9">
        <v>1</v>
      </c>
      <c r="K8" s="9">
        <v>1</v>
      </c>
      <c r="L8" s="9" t="s">
        <v>530</v>
      </c>
      <c r="M8" s="9" t="s">
        <v>531</v>
      </c>
      <c r="N8" s="32" t="s">
        <v>624</v>
      </c>
      <c r="O8" s="32" t="s">
        <v>625</v>
      </c>
      <c r="P8" s="9"/>
      <c r="Q8" s="9"/>
      <c r="R8" s="9"/>
      <c r="S8" s="9" t="s">
        <v>32</v>
      </c>
      <c r="T8" s="9" t="s">
        <v>534</v>
      </c>
      <c r="V8" t="str">
        <v>Scentless_plant_bugs</v>
      </c>
      <c r="W8">
        <f t="shared" si="0"/>
        <v>1</v>
      </c>
      <c r="Y8" t="str">
        <v>Small_wainscot</v>
      </c>
      <c r="Z8">
        <f t="shared" si="1"/>
        <v>3</v>
      </c>
    </row>
    <row r="9" spans="1:26" ht="17.399999999999999" x14ac:dyDescent="0.3">
      <c r="A9" s="9" t="s">
        <v>620</v>
      </c>
      <c r="B9" s="9" t="s">
        <v>642</v>
      </c>
      <c r="C9" s="9" t="s">
        <v>524</v>
      </c>
      <c r="D9" s="10">
        <v>45910</v>
      </c>
      <c r="E9" s="9" t="s">
        <v>525</v>
      </c>
      <c r="F9" s="9" t="s">
        <v>526</v>
      </c>
      <c r="G9" s="9" t="s">
        <v>643</v>
      </c>
      <c r="H9" s="9" t="s">
        <v>614</v>
      </c>
      <c r="I9" s="9" t="s">
        <v>609</v>
      </c>
      <c r="J9" s="9">
        <v>1</v>
      </c>
      <c r="K9" s="9">
        <v>1</v>
      </c>
      <c r="L9" s="9" t="s">
        <v>530</v>
      </c>
      <c r="M9" s="9" t="s">
        <v>531</v>
      </c>
      <c r="N9" s="32" t="s">
        <v>624</v>
      </c>
      <c r="O9" s="32" t="s">
        <v>625</v>
      </c>
      <c r="P9" s="9"/>
      <c r="Q9" s="9"/>
      <c r="R9" s="9"/>
      <c r="S9" s="9" t="s">
        <v>32</v>
      </c>
      <c r="T9" s="9" t="s">
        <v>534</v>
      </c>
      <c r="V9" t="str">
        <v>Convolvulus_hawk_moth</v>
      </c>
      <c r="W9">
        <f t="shared" si="0"/>
        <v>1</v>
      </c>
      <c r="Y9" t="str">
        <v>Leaf_curling_sac_spiders</v>
      </c>
      <c r="Z9">
        <f t="shared" si="1"/>
        <v>1</v>
      </c>
    </row>
    <row r="10" spans="1:26" ht="17.399999999999999" x14ac:dyDescent="0.3">
      <c r="A10" s="9" t="s">
        <v>620</v>
      </c>
      <c r="B10" s="9" t="s">
        <v>644</v>
      </c>
      <c r="C10" s="9" t="s">
        <v>524</v>
      </c>
      <c r="D10" s="10">
        <v>45910</v>
      </c>
      <c r="E10" s="9" t="s">
        <v>525</v>
      </c>
      <c r="F10" s="9" t="s">
        <v>645</v>
      </c>
      <c r="G10" s="9" t="s">
        <v>646</v>
      </c>
      <c r="H10" s="9" t="s">
        <v>647</v>
      </c>
      <c r="I10" s="9" t="s">
        <v>648</v>
      </c>
      <c r="J10" s="9">
        <v>2</v>
      </c>
      <c r="K10" s="9">
        <v>2</v>
      </c>
      <c r="L10" s="9" t="s">
        <v>530</v>
      </c>
      <c r="M10" s="9" t="s">
        <v>531</v>
      </c>
      <c r="N10" s="32" t="s">
        <v>624</v>
      </c>
      <c r="O10" s="32" t="s">
        <v>625</v>
      </c>
      <c r="P10" s="9"/>
      <c r="Q10" s="9"/>
      <c r="R10" s="9"/>
      <c r="S10" s="9" t="s">
        <v>32</v>
      </c>
      <c r="T10" s="9" t="s">
        <v>534</v>
      </c>
      <c r="V10" t="str">
        <v>Parasitic_wasps</v>
      </c>
      <c r="W10">
        <f t="shared" si="0"/>
        <v>2</v>
      </c>
      <c r="Y10" t="str">
        <v>Common_marbled_carpet</v>
      </c>
      <c r="Z10">
        <f t="shared" si="1"/>
        <v>2</v>
      </c>
    </row>
    <row r="11" spans="1:26" ht="17.399999999999999" x14ac:dyDescent="0.3">
      <c r="A11" s="9" t="s">
        <v>620</v>
      </c>
      <c r="B11" s="9" t="s">
        <v>649</v>
      </c>
      <c r="C11" s="9" t="s">
        <v>524</v>
      </c>
      <c r="D11" s="10">
        <v>45910</v>
      </c>
      <c r="E11" s="9" t="s">
        <v>525</v>
      </c>
      <c r="F11" s="9" t="s">
        <v>573</v>
      </c>
      <c r="G11" s="9" t="s">
        <v>574</v>
      </c>
      <c r="H11" s="9" t="s">
        <v>611</v>
      </c>
      <c r="I11" s="9" t="s">
        <v>529</v>
      </c>
      <c r="J11" s="9">
        <v>1</v>
      </c>
      <c r="K11" s="9">
        <v>1</v>
      </c>
      <c r="L11" s="9" t="s">
        <v>530</v>
      </c>
      <c r="M11" s="9" t="s">
        <v>531</v>
      </c>
      <c r="N11" s="32" t="s">
        <v>624</v>
      </c>
      <c r="O11" s="32" t="s">
        <v>625</v>
      </c>
      <c r="P11" s="9"/>
      <c r="Q11" s="9"/>
      <c r="R11" s="9"/>
      <c r="S11" s="9" t="s">
        <v>32</v>
      </c>
      <c r="T11" s="9" t="s">
        <v>534</v>
      </c>
      <c r="V11" t="str">
        <v>Cinnamon_sedge_caddisfly</v>
      </c>
      <c r="W11">
        <f t="shared" si="0"/>
        <v>1</v>
      </c>
      <c r="Y11" t="str">
        <v xml:space="preserve">Dark_winged_fungus_gnats </v>
      </c>
      <c r="Z11">
        <f t="shared" si="1"/>
        <v>1</v>
      </c>
    </row>
    <row r="12" spans="1:26" ht="17.399999999999999" x14ac:dyDescent="0.3">
      <c r="A12" s="9" t="s">
        <v>522</v>
      </c>
      <c r="B12" s="9" t="s">
        <v>523</v>
      </c>
      <c r="C12" s="9" t="s">
        <v>524</v>
      </c>
      <c r="D12" s="10">
        <v>45909</v>
      </c>
      <c r="E12" s="9" t="s">
        <v>525</v>
      </c>
      <c r="F12" s="9" t="s">
        <v>526</v>
      </c>
      <c r="G12" s="9" t="s">
        <v>527</v>
      </c>
      <c r="H12" s="9" t="s">
        <v>528</v>
      </c>
      <c r="I12" s="9" t="s">
        <v>529</v>
      </c>
      <c r="J12" s="9">
        <v>3</v>
      </c>
      <c r="K12" s="9">
        <v>3</v>
      </c>
      <c r="L12" s="9" t="s">
        <v>530</v>
      </c>
      <c r="M12" s="9" t="s">
        <v>531</v>
      </c>
      <c r="N12" s="32" t="s">
        <v>532</v>
      </c>
      <c r="O12" s="32" t="s">
        <v>533</v>
      </c>
      <c r="P12" s="9"/>
      <c r="Q12" s="9"/>
      <c r="R12" s="9"/>
      <c r="S12" s="9" t="s">
        <v>32</v>
      </c>
      <c r="T12" s="9" t="s">
        <v>534</v>
      </c>
      <c r="V12" t="str">
        <v xml:space="preserve">Black_rustic </v>
      </c>
      <c r="W12">
        <f t="shared" si="0"/>
        <v>4</v>
      </c>
      <c r="Y12" t="str">
        <v>Cinnamon_sedge_caddisfly</v>
      </c>
      <c r="Z12">
        <f t="shared" si="1"/>
        <v>1</v>
      </c>
    </row>
    <row r="13" spans="1:26" ht="17.399999999999999" x14ac:dyDescent="0.3">
      <c r="A13" s="9" t="s">
        <v>522</v>
      </c>
      <c r="B13" s="9" t="s">
        <v>535</v>
      </c>
      <c r="C13" s="9" t="s">
        <v>524</v>
      </c>
      <c r="D13" s="10">
        <v>45909</v>
      </c>
      <c r="E13" s="9" t="s">
        <v>525</v>
      </c>
      <c r="F13" s="9" t="s">
        <v>526</v>
      </c>
      <c r="G13" s="9" t="s">
        <v>536</v>
      </c>
      <c r="H13" s="9" t="s">
        <v>537</v>
      </c>
      <c r="I13" s="9" t="s">
        <v>529</v>
      </c>
      <c r="J13" s="9">
        <v>3</v>
      </c>
      <c r="K13" s="9">
        <v>3</v>
      </c>
      <c r="L13" s="9" t="s">
        <v>530</v>
      </c>
      <c r="M13" s="9" t="s">
        <v>531</v>
      </c>
      <c r="N13" s="32" t="s">
        <v>532</v>
      </c>
      <c r="O13" s="32" t="s">
        <v>533</v>
      </c>
      <c r="P13" s="9"/>
      <c r="Q13" s="33"/>
      <c r="R13" s="33"/>
      <c r="S13" s="9" t="s">
        <v>32</v>
      </c>
      <c r="T13" s="9" t="s">
        <v>534</v>
      </c>
      <c r="V13" t="str">
        <v>Larval_geometrid</v>
      </c>
      <c r="W13">
        <f t="shared" si="0"/>
        <v>1</v>
      </c>
      <c r="Y13" t="str">
        <v xml:space="preserve">Crane_fly </v>
      </c>
      <c r="Z13">
        <f t="shared" si="1"/>
        <v>3</v>
      </c>
    </row>
    <row r="14" spans="1:26" ht="17.399999999999999" x14ac:dyDescent="0.3">
      <c r="A14" s="9" t="s">
        <v>522</v>
      </c>
      <c r="B14" s="9" t="s">
        <v>538</v>
      </c>
      <c r="C14" s="9" t="s">
        <v>524</v>
      </c>
      <c r="D14" s="10">
        <v>45909</v>
      </c>
      <c r="E14" s="9" t="s">
        <v>525</v>
      </c>
      <c r="F14" s="9" t="s">
        <v>526</v>
      </c>
      <c r="G14" s="34" t="s">
        <v>539</v>
      </c>
      <c r="H14" s="34" t="s">
        <v>540</v>
      </c>
      <c r="I14" s="9" t="s">
        <v>529</v>
      </c>
      <c r="J14" s="9">
        <v>1</v>
      </c>
      <c r="K14" s="9">
        <v>1</v>
      </c>
      <c r="L14" s="9" t="s">
        <v>530</v>
      </c>
      <c r="M14" s="9" t="s">
        <v>531</v>
      </c>
      <c r="N14" s="32" t="s">
        <v>532</v>
      </c>
      <c r="O14" s="32" t="s">
        <v>533</v>
      </c>
      <c r="P14" s="9"/>
      <c r="Q14" s="9"/>
      <c r="R14" s="9"/>
      <c r="S14" s="9" t="s">
        <v>32</v>
      </c>
      <c r="T14" s="9" t="s">
        <v>534</v>
      </c>
      <c r="V14" t="str">
        <v xml:space="preserve">Marsh_crane_fly </v>
      </c>
      <c r="W14">
        <f t="shared" si="0"/>
        <v>2</v>
      </c>
      <c r="Y14" t="str">
        <v>Crane_fly</v>
      </c>
      <c r="Z14">
        <f t="shared" si="1"/>
        <v>10</v>
      </c>
    </row>
    <row r="15" spans="1:26" ht="17.399999999999999" x14ac:dyDescent="0.3">
      <c r="A15" s="9" t="s">
        <v>522</v>
      </c>
      <c r="B15" s="9" t="s">
        <v>541</v>
      </c>
      <c r="C15" s="9" t="s">
        <v>524</v>
      </c>
      <c r="D15" s="10">
        <v>45909</v>
      </c>
      <c r="E15" s="9" t="s">
        <v>525</v>
      </c>
      <c r="F15" s="9" t="s">
        <v>542</v>
      </c>
      <c r="G15" s="9" t="s">
        <v>543</v>
      </c>
      <c r="H15" s="9" t="s">
        <v>544</v>
      </c>
      <c r="I15" s="9" t="s">
        <v>529</v>
      </c>
      <c r="J15" s="9">
        <v>2</v>
      </c>
      <c r="K15" s="9">
        <v>2</v>
      </c>
      <c r="L15" s="9" t="s">
        <v>530</v>
      </c>
      <c r="M15" s="9" t="s">
        <v>531</v>
      </c>
      <c r="N15" s="32" t="s">
        <v>532</v>
      </c>
      <c r="O15" s="32" t="s">
        <v>533</v>
      </c>
      <c r="P15" s="9"/>
      <c r="Q15" s="9"/>
      <c r="R15" s="9"/>
      <c r="S15" s="9" t="s">
        <v>32</v>
      </c>
      <c r="T15" s="9" t="s">
        <v>534</v>
      </c>
      <c r="V15" t="str">
        <v>Large_yellow_underwing</v>
      </c>
      <c r="W15">
        <f t="shared" si="0"/>
        <v>1</v>
      </c>
      <c r="Y15" t="str">
        <v>European_crane_fly</v>
      </c>
      <c r="Z15">
        <f t="shared" si="1"/>
        <v>3</v>
      </c>
    </row>
    <row r="16" spans="1:26" ht="17.399999999999999" x14ac:dyDescent="0.3">
      <c r="A16" s="9" t="s">
        <v>522</v>
      </c>
      <c r="B16" s="9" t="s">
        <v>545</v>
      </c>
      <c r="C16" s="9" t="s">
        <v>524</v>
      </c>
      <c r="D16" s="10">
        <v>45909</v>
      </c>
      <c r="E16" s="9" t="s">
        <v>525</v>
      </c>
      <c r="F16" s="9" t="s">
        <v>526</v>
      </c>
      <c r="G16" s="9" t="s">
        <v>546</v>
      </c>
      <c r="H16" s="9" t="s">
        <v>547</v>
      </c>
      <c r="I16" s="9" t="s">
        <v>529</v>
      </c>
      <c r="J16" s="9">
        <v>1</v>
      </c>
      <c r="K16" s="9">
        <v>1</v>
      </c>
      <c r="L16" s="9" t="s">
        <v>530</v>
      </c>
      <c r="M16" s="9" t="s">
        <v>531</v>
      </c>
      <c r="N16" s="32" t="s">
        <v>532</v>
      </c>
      <c r="O16" s="32" t="s">
        <v>533</v>
      </c>
      <c r="P16" s="9"/>
      <c r="Q16" s="9"/>
      <c r="R16" s="9"/>
      <c r="S16" s="9" t="s">
        <v>32</v>
      </c>
      <c r="T16" s="9" t="s">
        <v>534</v>
      </c>
      <c r="V16" t="str">
        <v xml:space="preserve">Autumnal_rustic </v>
      </c>
      <c r="W16">
        <f t="shared" si="0"/>
        <v>1</v>
      </c>
      <c r="Y16" t="str">
        <v xml:space="preserve">Marsh_crane_fly </v>
      </c>
      <c r="Z16">
        <f t="shared" si="1"/>
        <v>1</v>
      </c>
    </row>
    <row r="17" spans="1:26" ht="17.399999999999999" x14ac:dyDescent="0.3">
      <c r="A17" s="9" t="s">
        <v>522</v>
      </c>
      <c r="B17" s="9" t="s">
        <v>548</v>
      </c>
      <c r="C17" s="9" t="s">
        <v>524</v>
      </c>
      <c r="D17" s="10">
        <v>45909</v>
      </c>
      <c r="E17" s="9" t="s">
        <v>525</v>
      </c>
      <c r="F17" s="9" t="s">
        <v>526</v>
      </c>
      <c r="G17" s="9" t="s">
        <v>549</v>
      </c>
      <c r="H17" s="9" t="s">
        <v>550</v>
      </c>
      <c r="I17" s="9" t="s">
        <v>529</v>
      </c>
      <c r="J17" s="9">
        <v>1</v>
      </c>
      <c r="K17" s="9">
        <v>1</v>
      </c>
      <c r="L17" s="9" t="s">
        <v>530</v>
      </c>
      <c r="M17" s="9" t="s">
        <v>531</v>
      </c>
      <c r="N17" s="32" t="s">
        <v>532</v>
      </c>
      <c r="O17" s="32" t="s">
        <v>533</v>
      </c>
      <c r="P17" s="9"/>
      <c r="Q17" s="9"/>
      <c r="R17" s="9"/>
      <c r="S17" s="9" t="s">
        <v>32</v>
      </c>
      <c r="T17" s="9" t="s">
        <v>534</v>
      </c>
      <c r="V17" t="str">
        <v xml:space="preserve">Heath_rustic </v>
      </c>
      <c r="W17">
        <f t="shared" si="0"/>
        <v>1</v>
      </c>
      <c r="Y17" t="str">
        <v>Neglected_rustic</v>
      </c>
      <c r="Z17">
        <f t="shared" si="1"/>
        <v>1</v>
      </c>
    </row>
    <row r="18" spans="1:26" ht="17.399999999999999" x14ac:dyDescent="0.3">
      <c r="A18" s="9" t="s">
        <v>522</v>
      </c>
      <c r="B18" s="9" t="s">
        <v>551</v>
      </c>
      <c r="C18" s="9" t="s">
        <v>524</v>
      </c>
      <c r="D18" s="10">
        <v>45909</v>
      </c>
      <c r="E18" s="9" t="s">
        <v>525</v>
      </c>
      <c r="F18" s="9" t="s">
        <v>526</v>
      </c>
      <c r="G18" s="9" t="s">
        <v>552</v>
      </c>
      <c r="H18" s="9" t="s">
        <v>553</v>
      </c>
      <c r="I18" s="9" t="s">
        <v>529</v>
      </c>
      <c r="J18" s="9">
        <v>1</v>
      </c>
      <c r="K18" s="9">
        <v>1</v>
      </c>
      <c r="L18" s="9" t="s">
        <v>530</v>
      </c>
      <c r="M18" s="9" t="s">
        <v>531</v>
      </c>
      <c r="N18" s="32" t="s">
        <v>532</v>
      </c>
      <c r="O18" s="32" t="s">
        <v>533</v>
      </c>
      <c r="P18" s="9"/>
      <c r="Q18" s="9"/>
      <c r="R18" s="9"/>
      <c r="S18" s="9" t="s">
        <v>32</v>
      </c>
      <c r="T18" s="9" t="s">
        <v>534</v>
      </c>
      <c r="V18" t="str">
        <v xml:space="preserve">Large_pale_masoner </v>
      </c>
      <c r="W18">
        <f t="shared" si="0"/>
        <v>1</v>
      </c>
      <c r="Y18" t="str">
        <v>Caddis_fly</v>
      </c>
      <c r="Z18">
        <f t="shared" si="1"/>
        <v>3</v>
      </c>
    </row>
    <row r="19" spans="1:26" ht="17.399999999999999" x14ac:dyDescent="0.3">
      <c r="A19" s="34" t="s">
        <v>522</v>
      </c>
      <c r="B19" s="34" t="s">
        <v>554</v>
      </c>
      <c r="C19" s="9" t="s">
        <v>524</v>
      </c>
      <c r="D19" s="10">
        <v>45909</v>
      </c>
      <c r="E19" s="34" t="s">
        <v>525</v>
      </c>
      <c r="F19" s="34" t="s">
        <v>526</v>
      </c>
      <c r="G19" s="34" t="s">
        <v>555</v>
      </c>
      <c r="H19" s="34" t="s">
        <v>556</v>
      </c>
      <c r="I19" s="9" t="s">
        <v>529</v>
      </c>
      <c r="J19" s="34">
        <v>1</v>
      </c>
      <c r="K19" s="34">
        <v>1</v>
      </c>
      <c r="L19" s="9" t="s">
        <v>530</v>
      </c>
      <c r="M19" s="9" t="s">
        <v>531</v>
      </c>
      <c r="N19" s="32" t="s">
        <v>532</v>
      </c>
      <c r="O19" s="32" t="s">
        <v>533</v>
      </c>
      <c r="P19" s="34"/>
      <c r="Q19" s="34"/>
      <c r="R19" s="34"/>
      <c r="S19" s="9" t="s">
        <v>32</v>
      </c>
      <c r="T19" s="9" t="s">
        <v>534</v>
      </c>
      <c r="V19" t="str">
        <v>The_anomalous</v>
      </c>
      <c r="W19">
        <f t="shared" si="0"/>
        <v>1</v>
      </c>
      <c r="Y19" t="str">
        <v xml:space="preserve">Sheep_tick </v>
      </c>
      <c r="Z19">
        <f t="shared" si="1"/>
        <v>1</v>
      </c>
    </row>
    <row r="20" spans="1:26" ht="17.399999999999999" x14ac:dyDescent="0.3">
      <c r="A20" s="9" t="s">
        <v>522</v>
      </c>
      <c r="B20" s="9" t="s">
        <v>557</v>
      </c>
      <c r="C20" s="9" t="s">
        <v>524</v>
      </c>
      <c r="D20" s="10">
        <v>45909</v>
      </c>
      <c r="E20" s="9" t="s">
        <v>525</v>
      </c>
      <c r="F20" s="9" t="s">
        <v>526</v>
      </c>
      <c r="G20" s="9" t="s">
        <v>558</v>
      </c>
      <c r="H20" s="9" t="s">
        <v>559</v>
      </c>
      <c r="I20" s="9" t="s">
        <v>529</v>
      </c>
      <c r="J20" s="9">
        <v>1</v>
      </c>
      <c r="K20" s="9">
        <v>1</v>
      </c>
      <c r="L20" s="9" t="s">
        <v>530</v>
      </c>
      <c r="M20" s="9" t="s">
        <v>531</v>
      </c>
      <c r="N20" s="32" t="s">
        <v>532</v>
      </c>
      <c r="O20" s="32" t="s">
        <v>533</v>
      </c>
      <c r="P20" s="9"/>
      <c r="Q20" s="9"/>
      <c r="R20" s="9"/>
      <c r="S20" s="9" t="s">
        <v>32</v>
      </c>
      <c r="T20" s="9" t="s">
        <v>534</v>
      </c>
      <c r="V20" t="str">
        <v>Caddis_fly</v>
      </c>
      <c r="W20">
        <f t="shared" si="0"/>
        <v>1</v>
      </c>
      <c r="Y20" t="str">
        <v>White_legged_snake_millipede</v>
      </c>
      <c r="Z20">
        <f t="shared" si="1"/>
        <v>1</v>
      </c>
    </row>
    <row r="21" spans="1:26" ht="17.399999999999999" x14ac:dyDescent="0.3">
      <c r="A21" s="9" t="s">
        <v>664</v>
      </c>
      <c r="B21" s="9" t="s">
        <v>665</v>
      </c>
      <c r="C21" s="9" t="s">
        <v>524</v>
      </c>
      <c r="D21" s="10">
        <v>45911</v>
      </c>
      <c r="E21" s="9" t="s">
        <v>525</v>
      </c>
      <c r="F21" s="9" t="s">
        <v>526</v>
      </c>
      <c r="G21" s="9" t="s">
        <v>527</v>
      </c>
      <c r="H21" s="9" t="s">
        <v>528</v>
      </c>
      <c r="I21" s="9" t="s">
        <v>27</v>
      </c>
      <c r="J21" s="9">
        <v>1</v>
      </c>
      <c r="K21" s="9">
        <v>1</v>
      </c>
      <c r="L21" s="9" t="s">
        <v>530</v>
      </c>
      <c r="M21" s="9" t="s">
        <v>531</v>
      </c>
      <c r="N21" s="32" t="s">
        <v>666</v>
      </c>
      <c r="O21" s="32" t="s">
        <v>667</v>
      </c>
      <c r="P21" s="9"/>
      <c r="Q21" s="9"/>
      <c r="R21" s="9"/>
      <c r="S21" s="9" t="s">
        <v>32</v>
      </c>
      <c r="T21" s="9" t="s">
        <v>534</v>
      </c>
      <c r="V21" t="str">
        <v>Garden_dart</v>
      </c>
      <c r="W21">
        <f t="shared" si="0"/>
        <v>1</v>
      </c>
      <c r="Y21" t="str">
        <v>Mottled_rustic</v>
      </c>
      <c r="Z21">
        <f t="shared" si="1"/>
        <v>1</v>
      </c>
    </row>
    <row r="22" spans="1:26" ht="17.399999999999999" x14ac:dyDescent="0.3">
      <c r="A22" s="9" t="s">
        <v>664</v>
      </c>
      <c r="B22" s="9" t="s">
        <v>668</v>
      </c>
      <c r="C22" s="9" t="s">
        <v>524</v>
      </c>
      <c r="D22" s="10">
        <v>45911</v>
      </c>
      <c r="E22" s="9" t="s">
        <v>525</v>
      </c>
      <c r="F22" s="9" t="s">
        <v>526</v>
      </c>
      <c r="G22" s="9" t="s">
        <v>536</v>
      </c>
      <c r="H22" s="9" t="s">
        <v>537</v>
      </c>
      <c r="I22" s="9" t="s">
        <v>27</v>
      </c>
      <c r="J22" s="9">
        <v>5</v>
      </c>
      <c r="K22" s="9">
        <v>5</v>
      </c>
      <c r="L22" s="9" t="s">
        <v>530</v>
      </c>
      <c r="M22" s="9" t="s">
        <v>531</v>
      </c>
      <c r="N22" s="32" t="s">
        <v>666</v>
      </c>
      <c r="O22" s="32" t="s">
        <v>667</v>
      </c>
      <c r="P22" s="9"/>
      <c r="Q22" s="9"/>
      <c r="R22" s="9"/>
      <c r="S22" s="9" t="s">
        <v>32</v>
      </c>
      <c r="T22" s="9" t="s">
        <v>534</v>
      </c>
      <c r="V22" t="str">
        <v>Mosquito</v>
      </c>
      <c r="W22">
        <f t="shared" si="0"/>
        <v>1</v>
      </c>
      <c r="Y22" t="str">
        <v>Mosquito</v>
      </c>
      <c r="Z22">
        <f t="shared" si="1"/>
        <v>4</v>
      </c>
    </row>
    <row r="23" spans="1:26" ht="17.399999999999999" x14ac:dyDescent="0.3">
      <c r="A23" s="9" t="s">
        <v>664</v>
      </c>
      <c r="B23" s="9" t="s">
        <v>669</v>
      </c>
      <c r="C23" s="9" t="s">
        <v>524</v>
      </c>
      <c r="D23" s="10">
        <v>45911</v>
      </c>
      <c r="E23" s="9" t="s">
        <v>525</v>
      </c>
      <c r="F23" s="9" t="s">
        <v>573</v>
      </c>
      <c r="G23" s="9" t="s">
        <v>652</v>
      </c>
      <c r="H23" s="9" t="s">
        <v>575</v>
      </c>
      <c r="I23" s="9" t="s">
        <v>5</v>
      </c>
      <c r="J23" s="9">
        <v>1</v>
      </c>
      <c r="K23" s="9">
        <v>1</v>
      </c>
      <c r="L23" s="9" t="s">
        <v>530</v>
      </c>
      <c r="M23" s="9" t="s">
        <v>531</v>
      </c>
      <c r="N23" s="32" t="s">
        <v>666</v>
      </c>
      <c r="O23" s="32" t="s">
        <v>667</v>
      </c>
      <c r="P23" s="9"/>
      <c r="Q23" s="9"/>
      <c r="R23" s="9"/>
      <c r="S23" s="9" t="s">
        <v>32</v>
      </c>
      <c r="T23" s="9" t="s">
        <v>534</v>
      </c>
      <c r="V23" t="str">
        <v>Fly</v>
      </c>
      <c r="W23">
        <f t="shared" si="0"/>
        <v>1</v>
      </c>
      <c r="Y23">
        <f>COUNTA(_xlfn.ANCHORARRAY(Y3))</f>
        <v>20</v>
      </c>
      <c r="Z23">
        <f>SUM(Z3:Z22)</f>
        <v>54</v>
      </c>
    </row>
    <row r="24" spans="1:26" ht="17.399999999999999" x14ac:dyDescent="0.3">
      <c r="A24" s="9" t="s">
        <v>664</v>
      </c>
      <c r="B24" s="9" t="s">
        <v>670</v>
      </c>
      <c r="C24" s="9" t="s">
        <v>524</v>
      </c>
      <c r="D24" s="10">
        <v>45911</v>
      </c>
      <c r="E24" s="9" t="s">
        <v>525</v>
      </c>
      <c r="F24" s="9" t="s">
        <v>526</v>
      </c>
      <c r="G24" s="9" t="s">
        <v>671</v>
      </c>
      <c r="H24" s="9" t="s">
        <v>672</v>
      </c>
      <c r="I24" s="9" t="s">
        <v>27</v>
      </c>
      <c r="J24" s="9">
        <v>1</v>
      </c>
      <c r="K24" s="9">
        <v>1</v>
      </c>
      <c r="L24" s="9" t="s">
        <v>530</v>
      </c>
      <c r="M24" s="9" t="s">
        <v>531</v>
      </c>
      <c r="N24" s="32" t="s">
        <v>666</v>
      </c>
      <c r="O24" s="32" t="s">
        <v>667</v>
      </c>
      <c r="P24" s="9"/>
      <c r="Q24" s="9"/>
      <c r="R24" s="9"/>
      <c r="S24" s="9" t="s">
        <v>32</v>
      </c>
      <c r="T24" s="9" t="s">
        <v>534</v>
      </c>
      <c r="V24" t="str">
        <v>Green_carpet_moth</v>
      </c>
      <c r="W24">
        <f t="shared" si="0"/>
        <v>1</v>
      </c>
    </row>
    <row r="25" spans="1:26" ht="17.399999999999999" x14ac:dyDescent="0.3">
      <c r="A25" s="9" t="s">
        <v>664</v>
      </c>
      <c r="B25" s="9" t="s">
        <v>673</v>
      </c>
      <c r="C25" s="9" t="s">
        <v>524</v>
      </c>
      <c r="D25" s="10">
        <v>45911</v>
      </c>
      <c r="E25" s="9" t="s">
        <v>525</v>
      </c>
      <c r="F25" s="9" t="s">
        <v>542</v>
      </c>
      <c r="G25" s="9" t="s">
        <v>662</v>
      </c>
      <c r="H25" s="9" t="s">
        <v>614</v>
      </c>
      <c r="I25" s="9" t="s">
        <v>663</v>
      </c>
      <c r="J25" s="9">
        <v>4</v>
      </c>
      <c r="K25" s="9">
        <v>4</v>
      </c>
      <c r="L25" s="9" t="s">
        <v>530</v>
      </c>
      <c r="M25" s="9" t="s">
        <v>531</v>
      </c>
      <c r="N25" s="32" t="s">
        <v>666</v>
      </c>
      <c r="O25" s="32" t="s">
        <v>667</v>
      </c>
      <c r="P25" s="9"/>
      <c r="Q25" s="9"/>
      <c r="R25" s="9"/>
      <c r="S25" s="9" t="s">
        <v>32</v>
      </c>
      <c r="T25" s="9" t="s">
        <v>534</v>
      </c>
      <c r="V25" t="str">
        <v>Mottled_rustic</v>
      </c>
      <c r="W25">
        <f t="shared" si="0"/>
        <v>1</v>
      </c>
    </row>
    <row r="26" spans="1:26" ht="17.399999999999999" x14ac:dyDescent="0.3">
      <c r="A26" s="9" t="s">
        <v>664</v>
      </c>
      <c r="B26" s="9" t="s">
        <v>674</v>
      </c>
      <c r="C26" s="9" t="s">
        <v>524</v>
      </c>
      <c r="D26" s="10">
        <v>45911</v>
      </c>
      <c r="E26" s="9" t="s">
        <v>525</v>
      </c>
      <c r="F26" s="9" t="s">
        <v>542</v>
      </c>
      <c r="G26" s="9" t="s">
        <v>659</v>
      </c>
      <c r="H26" s="9" t="s">
        <v>660</v>
      </c>
      <c r="I26" s="9" t="s">
        <v>634</v>
      </c>
      <c r="J26" s="9">
        <v>1</v>
      </c>
      <c r="K26" s="9">
        <v>1</v>
      </c>
      <c r="L26" s="9" t="s">
        <v>530</v>
      </c>
      <c r="M26" s="9" t="s">
        <v>531</v>
      </c>
      <c r="N26" s="32" t="s">
        <v>666</v>
      </c>
      <c r="O26" s="32" t="s">
        <v>667</v>
      </c>
      <c r="P26" s="9"/>
      <c r="Q26" s="9"/>
      <c r="R26" s="9"/>
      <c r="S26" s="9" t="s">
        <v>32</v>
      </c>
      <c r="T26" s="9" t="s">
        <v>534</v>
      </c>
      <c r="V26">
        <f>COUNTA(_xlfn.ANCHORARRAY(V3))</f>
        <v>23</v>
      </c>
      <c r="W26">
        <f>SUM(W1:W25)</f>
        <v>45</v>
      </c>
    </row>
    <row r="27" spans="1:26" ht="17.399999999999999" x14ac:dyDescent="0.3">
      <c r="A27" s="9" t="s">
        <v>664</v>
      </c>
      <c r="B27" s="9" t="s">
        <v>675</v>
      </c>
      <c r="C27" s="9" t="s">
        <v>524</v>
      </c>
      <c r="D27" s="10">
        <v>45911</v>
      </c>
      <c r="E27" s="9" t="s">
        <v>525</v>
      </c>
      <c r="F27" s="9" t="s">
        <v>542</v>
      </c>
      <c r="G27" s="9" t="s">
        <v>676</v>
      </c>
      <c r="H27" s="9" t="s">
        <v>677</v>
      </c>
      <c r="I27" s="9" t="s">
        <v>609</v>
      </c>
      <c r="J27" s="9">
        <v>1</v>
      </c>
      <c r="K27" s="9">
        <v>1</v>
      </c>
      <c r="L27" s="9" t="s">
        <v>530</v>
      </c>
      <c r="M27" s="9" t="s">
        <v>531</v>
      </c>
      <c r="N27" s="32" t="s">
        <v>666</v>
      </c>
      <c r="O27" s="32" t="s">
        <v>667</v>
      </c>
      <c r="P27" s="9"/>
      <c r="Q27" s="9"/>
      <c r="R27" s="9"/>
      <c r="S27" s="9" t="s">
        <v>32</v>
      </c>
      <c r="T27" s="9" t="s">
        <v>534</v>
      </c>
    </row>
    <row r="28" spans="1:26" ht="17.399999999999999" x14ac:dyDescent="0.3">
      <c r="A28" s="9" t="s">
        <v>664</v>
      </c>
      <c r="B28" s="9" t="s">
        <v>678</v>
      </c>
      <c r="C28" s="9" t="s">
        <v>524</v>
      </c>
      <c r="D28" s="10">
        <v>45911</v>
      </c>
      <c r="E28" s="9" t="s">
        <v>525</v>
      </c>
      <c r="F28" s="9" t="s">
        <v>526</v>
      </c>
      <c r="G28" s="9" t="s">
        <v>592</v>
      </c>
      <c r="H28" s="9" t="s">
        <v>593</v>
      </c>
      <c r="I28" s="9" t="s">
        <v>27</v>
      </c>
      <c r="J28" s="9">
        <v>1</v>
      </c>
      <c r="K28" s="9">
        <v>1</v>
      </c>
      <c r="L28" s="9" t="s">
        <v>530</v>
      </c>
      <c r="M28" s="9" t="s">
        <v>531</v>
      </c>
      <c r="N28" s="32" t="s">
        <v>666</v>
      </c>
      <c r="O28" s="32" t="s">
        <v>667</v>
      </c>
      <c r="P28" s="9"/>
      <c r="Q28" s="9"/>
      <c r="R28" s="9"/>
      <c r="S28" s="9" t="s">
        <v>32</v>
      </c>
      <c r="T28" s="9" t="s">
        <v>534</v>
      </c>
    </row>
    <row r="29" spans="1:26" ht="17.399999999999999" x14ac:dyDescent="0.3">
      <c r="A29" s="9" t="s">
        <v>664</v>
      </c>
      <c r="B29" s="9" t="s">
        <v>679</v>
      </c>
      <c r="C29" s="9" t="s">
        <v>524</v>
      </c>
      <c r="D29" s="10">
        <v>45911</v>
      </c>
      <c r="E29" s="9" t="s">
        <v>525</v>
      </c>
      <c r="F29" s="9" t="s">
        <v>526</v>
      </c>
      <c r="G29" s="9" t="s">
        <v>656</v>
      </c>
      <c r="H29" s="9" t="s">
        <v>657</v>
      </c>
      <c r="I29" s="9" t="s">
        <v>27</v>
      </c>
      <c r="J29" s="9">
        <v>1</v>
      </c>
      <c r="K29" s="9">
        <v>1</v>
      </c>
      <c r="L29" s="9" t="s">
        <v>530</v>
      </c>
      <c r="M29" s="9" t="s">
        <v>531</v>
      </c>
      <c r="N29" s="32" t="s">
        <v>666</v>
      </c>
      <c r="O29" s="32" t="s">
        <v>667</v>
      </c>
      <c r="P29" s="9"/>
      <c r="Q29" s="9"/>
      <c r="R29" s="9"/>
      <c r="S29" s="9"/>
      <c r="T29" s="9"/>
    </row>
    <row r="30" spans="1:26" ht="17.399999999999999" x14ac:dyDescent="0.3">
      <c r="A30" s="9" t="s">
        <v>587</v>
      </c>
      <c r="B30" s="9" t="s">
        <v>588</v>
      </c>
      <c r="C30" s="9" t="s">
        <v>524</v>
      </c>
      <c r="D30" s="10">
        <v>45910</v>
      </c>
      <c r="E30" s="9" t="s">
        <v>525</v>
      </c>
      <c r="F30" s="9" t="s">
        <v>526</v>
      </c>
      <c r="G30" s="9" t="s">
        <v>536</v>
      </c>
      <c r="H30" s="9" t="s">
        <v>537</v>
      </c>
      <c r="I30" s="9" t="s">
        <v>529</v>
      </c>
      <c r="J30" s="9">
        <v>12</v>
      </c>
      <c r="K30" s="9">
        <v>12</v>
      </c>
      <c r="L30" s="9" t="s">
        <v>530</v>
      </c>
      <c r="M30" s="9" t="s">
        <v>531</v>
      </c>
      <c r="N30" s="32" t="s">
        <v>589</v>
      </c>
      <c r="O30" s="32" t="s">
        <v>590</v>
      </c>
      <c r="P30" s="9"/>
      <c r="Q30" s="9"/>
      <c r="R30" s="9"/>
      <c r="S30" s="9" t="s">
        <v>32</v>
      </c>
      <c r="T30" s="9" t="s">
        <v>534</v>
      </c>
    </row>
    <row r="31" spans="1:26" ht="17.399999999999999" x14ac:dyDescent="0.3">
      <c r="A31" s="9" t="s">
        <v>587</v>
      </c>
      <c r="B31" s="9" t="s">
        <v>591</v>
      </c>
      <c r="C31" s="9" t="s">
        <v>524</v>
      </c>
      <c r="D31" s="10">
        <v>45910</v>
      </c>
      <c r="E31" s="9" t="s">
        <v>525</v>
      </c>
      <c r="F31" s="9" t="s">
        <v>526</v>
      </c>
      <c r="G31" s="9" t="s">
        <v>592</v>
      </c>
      <c r="H31" s="9" t="s">
        <v>593</v>
      </c>
      <c r="I31" s="9" t="s">
        <v>529</v>
      </c>
      <c r="J31" s="9">
        <v>3</v>
      </c>
      <c r="K31" s="9">
        <v>3</v>
      </c>
      <c r="L31" s="9" t="s">
        <v>530</v>
      </c>
      <c r="M31" s="9" t="s">
        <v>531</v>
      </c>
      <c r="N31" s="32" t="s">
        <v>589</v>
      </c>
      <c r="O31" s="32" t="s">
        <v>590</v>
      </c>
      <c r="P31" s="9"/>
      <c r="Q31" s="9"/>
      <c r="R31" s="9"/>
      <c r="S31" s="9" t="s">
        <v>32</v>
      </c>
      <c r="T31" s="9" t="s">
        <v>534</v>
      </c>
    </row>
    <row r="32" spans="1:26" ht="17.399999999999999" x14ac:dyDescent="0.3">
      <c r="A32" s="9" t="s">
        <v>587</v>
      </c>
      <c r="B32" s="9" t="s">
        <v>594</v>
      </c>
      <c r="C32" s="9" t="s">
        <v>524</v>
      </c>
      <c r="D32" s="10">
        <v>45910</v>
      </c>
      <c r="E32" s="9" t="s">
        <v>525</v>
      </c>
      <c r="F32" s="9" t="s">
        <v>526</v>
      </c>
      <c r="G32" s="9" t="s">
        <v>552</v>
      </c>
      <c r="H32" s="9" t="s">
        <v>553</v>
      </c>
      <c r="I32" s="9" t="s">
        <v>529</v>
      </c>
      <c r="J32" s="9">
        <v>1</v>
      </c>
      <c r="K32" s="9">
        <v>1</v>
      </c>
      <c r="L32" s="9" t="s">
        <v>530</v>
      </c>
      <c r="M32" s="9" t="s">
        <v>531</v>
      </c>
      <c r="N32" s="32" t="s">
        <v>589</v>
      </c>
      <c r="O32" s="32" t="s">
        <v>590</v>
      </c>
      <c r="P32" s="9"/>
      <c r="Q32" s="9"/>
      <c r="R32" s="9"/>
      <c r="S32" s="9" t="s">
        <v>32</v>
      </c>
      <c r="T32" s="9" t="s">
        <v>534</v>
      </c>
    </row>
    <row r="33" spans="1:20" ht="17.399999999999999" x14ac:dyDescent="0.3">
      <c r="A33" s="9" t="s">
        <v>587</v>
      </c>
      <c r="B33" s="9" t="s">
        <v>595</v>
      </c>
      <c r="C33" s="9" t="s">
        <v>524</v>
      </c>
      <c r="D33" s="10">
        <v>45910</v>
      </c>
      <c r="E33" s="9" t="s">
        <v>525</v>
      </c>
      <c r="F33" s="9" t="s">
        <v>526</v>
      </c>
      <c r="G33" s="9" t="s">
        <v>596</v>
      </c>
      <c r="H33" s="9" t="s">
        <v>597</v>
      </c>
      <c r="I33" s="9" t="s">
        <v>529</v>
      </c>
      <c r="J33" s="9">
        <v>1</v>
      </c>
      <c r="K33" s="9">
        <v>1</v>
      </c>
      <c r="L33" s="9" t="s">
        <v>530</v>
      </c>
      <c r="M33" s="9" t="s">
        <v>531</v>
      </c>
      <c r="N33" s="32" t="s">
        <v>589</v>
      </c>
      <c r="O33" s="32" t="s">
        <v>590</v>
      </c>
      <c r="P33" s="9"/>
      <c r="Q33" s="9"/>
      <c r="R33" s="9"/>
      <c r="S33" s="9" t="s">
        <v>32</v>
      </c>
      <c r="T33" s="9" t="s">
        <v>534</v>
      </c>
    </row>
    <row r="34" spans="1:20" ht="17.399999999999999" x14ac:dyDescent="0.3">
      <c r="A34" s="9" t="s">
        <v>587</v>
      </c>
      <c r="B34" s="9" t="s">
        <v>598</v>
      </c>
      <c r="C34" s="9" t="s">
        <v>524</v>
      </c>
      <c r="D34" s="10">
        <v>45910</v>
      </c>
      <c r="E34" s="9" t="s">
        <v>525</v>
      </c>
      <c r="F34" s="9" t="s">
        <v>526</v>
      </c>
      <c r="G34" s="9" t="s">
        <v>599</v>
      </c>
      <c r="H34" s="9" t="s">
        <v>600</v>
      </c>
      <c r="I34" s="9" t="s">
        <v>529</v>
      </c>
      <c r="J34" s="9">
        <v>1</v>
      </c>
      <c r="K34" s="9">
        <v>1</v>
      </c>
      <c r="L34" s="9" t="s">
        <v>530</v>
      </c>
      <c r="M34" s="9" t="s">
        <v>531</v>
      </c>
      <c r="N34" s="32" t="s">
        <v>589</v>
      </c>
      <c r="O34" s="32" t="s">
        <v>590</v>
      </c>
      <c r="P34" s="9"/>
      <c r="Q34" s="9"/>
      <c r="R34" s="9"/>
      <c r="S34" s="9" t="s">
        <v>32</v>
      </c>
      <c r="T34" s="9" t="s">
        <v>534</v>
      </c>
    </row>
    <row r="35" spans="1:20" ht="17.399999999999999" x14ac:dyDescent="0.3">
      <c r="A35" s="9" t="s">
        <v>587</v>
      </c>
      <c r="B35" s="9" t="s">
        <v>601</v>
      </c>
      <c r="C35" s="9" t="s">
        <v>524</v>
      </c>
      <c r="D35" s="10">
        <v>45910</v>
      </c>
      <c r="E35" s="9" t="s">
        <v>525</v>
      </c>
      <c r="F35" s="9" t="s">
        <v>526</v>
      </c>
      <c r="G35" s="9" t="s">
        <v>562</v>
      </c>
      <c r="H35" s="9" t="s">
        <v>563</v>
      </c>
      <c r="I35" s="9" t="s">
        <v>529</v>
      </c>
      <c r="J35" s="9">
        <v>1</v>
      </c>
      <c r="K35" s="9">
        <v>1</v>
      </c>
      <c r="L35" s="9" t="s">
        <v>530</v>
      </c>
      <c r="M35" s="9" t="s">
        <v>531</v>
      </c>
      <c r="N35" s="32" t="s">
        <v>589</v>
      </c>
      <c r="O35" s="32" t="s">
        <v>590</v>
      </c>
      <c r="P35" s="9"/>
      <c r="Q35" s="9"/>
      <c r="R35" s="9"/>
      <c r="S35" s="9" t="s">
        <v>32</v>
      </c>
      <c r="T35" s="9" t="s">
        <v>534</v>
      </c>
    </row>
    <row r="36" spans="1:20" ht="17.399999999999999" x14ac:dyDescent="0.3">
      <c r="A36" s="9" t="s">
        <v>587</v>
      </c>
      <c r="B36" s="9" t="s">
        <v>602</v>
      </c>
      <c r="C36" s="9" t="s">
        <v>524</v>
      </c>
      <c r="D36" s="10">
        <v>45910</v>
      </c>
      <c r="E36" s="9" t="s">
        <v>525</v>
      </c>
      <c r="F36" s="9" t="s">
        <v>526</v>
      </c>
      <c r="G36" s="9" t="s">
        <v>603</v>
      </c>
      <c r="H36" s="9" t="s">
        <v>604</v>
      </c>
      <c r="I36" s="9" t="s">
        <v>529</v>
      </c>
      <c r="J36" s="9">
        <v>1</v>
      </c>
      <c r="K36" s="9">
        <v>1</v>
      </c>
      <c r="L36" s="9" t="s">
        <v>530</v>
      </c>
      <c r="M36" s="9" t="s">
        <v>531</v>
      </c>
      <c r="N36" s="32" t="s">
        <v>589</v>
      </c>
      <c r="O36" s="32" t="s">
        <v>590</v>
      </c>
      <c r="P36" s="9"/>
      <c r="Q36" s="9"/>
      <c r="R36" s="9"/>
      <c r="S36" s="9" t="s">
        <v>32</v>
      </c>
      <c r="T36" s="9" t="s">
        <v>534</v>
      </c>
    </row>
    <row r="37" spans="1:20" ht="17.399999999999999" x14ac:dyDescent="0.3">
      <c r="A37" s="9" t="s">
        <v>587</v>
      </c>
      <c r="B37" s="9" t="s">
        <v>605</v>
      </c>
      <c r="C37" s="9" t="s">
        <v>524</v>
      </c>
      <c r="D37" s="10">
        <v>45910</v>
      </c>
      <c r="E37" s="9" t="s">
        <v>525</v>
      </c>
      <c r="F37" s="9" t="s">
        <v>526</v>
      </c>
      <c r="G37" s="9" t="s">
        <v>577</v>
      </c>
      <c r="H37" s="9" t="s">
        <v>578</v>
      </c>
      <c r="I37" s="9" t="s">
        <v>529</v>
      </c>
      <c r="J37" s="9">
        <v>1</v>
      </c>
      <c r="K37" s="9">
        <v>1</v>
      </c>
      <c r="L37" s="9" t="s">
        <v>530</v>
      </c>
      <c r="M37" s="9" t="s">
        <v>531</v>
      </c>
      <c r="N37" s="32" t="s">
        <v>589</v>
      </c>
      <c r="O37" s="32" t="s">
        <v>590</v>
      </c>
      <c r="P37" s="9"/>
      <c r="Q37" s="9"/>
      <c r="R37" s="9"/>
      <c r="S37" s="9" t="s">
        <v>32</v>
      </c>
      <c r="T37" s="9" t="s">
        <v>534</v>
      </c>
    </row>
    <row r="38" spans="1:20" ht="17.399999999999999" x14ac:dyDescent="0.3">
      <c r="A38" s="9" t="s">
        <v>587</v>
      </c>
      <c r="B38" s="9" t="s">
        <v>606</v>
      </c>
      <c r="C38" s="9" t="s">
        <v>524</v>
      </c>
      <c r="D38" s="10">
        <v>45910</v>
      </c>
      <c r="E38" s="9" t="s">
        <v>525</v>
      </c>
      <c r="F38" s="9" t="s">
        <v>542</v>
      </c>
      <c r="G38" s="9" t="s">
        <v>607</v>
      </c>
      <c r="H38" s="9" t="s">
        <v>608</v>
      </c>
      <c r="I38" s="9" t="s">
        <v>609</v>
      </c>
      <c r="J38" s="9">
        <v>1</v>
      </c>
      <c r="K38" s="9">
        <v>1</v>
      </c>
      <c r="L38" s="9" t="s">
        <v>530</v>
      </c>
      <c r="M38" s="9" t="s">
        <v>531</v>
      </c>
      <c r="N38" s="32" t="s">
        <v>589</v>
      </c>
      <c r="O38" s="32" t="s">
        <v>590</v>
      </c>
      <c r="P38" s="9"/>
      <c r="Q38" s="9"/>
      <c r="R38" s="9"/>
      <c r="S38" s="9" t="s">
        <v>32</v>
      </c>
      <c r="T38" s="9" t="s">
        <v>534</v>
      </c>
    </row>
    <row r="39" spans="1:20" ht="17.399999999999999" x14ac:dyDescent="0.3">
      <c r="A39" s="9" t="s">
        <v>587</v>
      </c>
      <c r="B39" s="9" t="s">
        <v>610</v>
      </c>
      <c r="C39" s="9" t="s">
        <v>524</v>
      </c>
      <c r="D39" s="10">
        <v>45910</v>
      </c>
      <c r="E39" s="9" t="s">
        <v>525</v>
      </c>
      <c r="F39" s="9" t="s">
        <v>573</v>
      </c>
      <c r="G39" s="9" t="s">
        <v>574</v>
      </c>
      <c r="H39" s="9" t="s">
        <v>611</v>
      </c>
      <c r="I39" s="9" t="s">
        <v>529</v>
      </c>
      <c r="J39" s="9">
        <v>1</v>
      </c>
      <c r="K39" s="9">
        <v>1</v>
      </c>
      <c r="L39" s="9" t="s">
        <v>530</v>
      </c>
      <c r="M39" s="9" t="s">
        <v>531</v>
      </c>
      <c r="N39" s="32" t="s">
        <v>589</v>
      </c>
      <c r="O39" s="32" t="s">
        <v>590</v>
      </c>
      <c r="P39" s="9"/>
      <c r="Q39" s="9"/>
      <c r="R39" s="9"/>
      <c r="S39" s="9" t="s">
        <v>32</v>
      </c>
      <c r="T39" s="9" t="s">
        <v>534</v>
      </c>
    </row>
    <row r="40" spans="1:20" ht="17.399999999999999" x14ac:dyDescent="0.3">
      <c r="A40" s="9" t="s">
        <v>587</v>
      </c>
      <c r="B40" s="9" t="s">
        <v>612</v>
      </c>
      <c r="C40" s="9" t="s">
        <v>524</v>
      </c>
      <c r="D40" s="10">
        <v>45910</v>
      </c>
      <c r="E40" s="9" t="s">
        <v>525</v>
      </c>
      <c r="F40" s="9" t="s">
        <v>542</v>
      </c>
      <c r="G40" s="9" t="s">
        <v>613</v>
      </c>
      <c r="H40" s="9" t="s">
        <v>614</v>
      </c>
      <c r="I40" s="9" t="s">
        <v>529</v>
      </c>
      <c r="J40" s="9">
        <v>2</v>
      </c>
      <c r="K40" s="9">
        <v>2</v>
      </c>
      <c r="L40" s="9" t="s">
        <v>530</v>
      </c>
      <c r="M40" s="9" t="s">
        <v>531</v>
      </c>
      <c r="N40" s="32" t="s">
        <v>589</v>
      </c>
      <c r="O40" s="32" t="s">
        <v>590</v>
      </c>
      <c r="P40" s="9"/>
      <c r="Q40" s="9"/>
      <c r="R40" s="9"/>
      <c r="S40" s="9" t="s">
        <v>32</v>
      </c>
      <c r="T40" s="9" t="s">
        <v>534</v>
      </c>
    </row>
    <row r="41" spans="1:20" ht="17.399999999999999" x14ac:dyDescent="0.3">
      <c r="A41" s="9" t="s">
        <v>587</v>
      </c>
      <c r="B41" s="9" t="s">
        <v>615</v>
      </c>
      <c r="C41" s="9" t="s">
        <v>524</v>
      </c>
      <c r="D41" s="10">
        <v>45910</v>
      </c>
      <c r="E41" s="9" t="s">
        <v>525</v>
      </c>
      <c r="F41" s="9" t="s">
        <v>542</v>
      </c>
      <c r="G41" s="9" t="s">
        <v>662</v>
      </c>
      <c r="H41" s="9" t="s">
        <v>616</v>
      </c>
      <c r="I41" s="9" t="s">
        <v>5</v>
      </c>
      <c r="J41" s="9">
        <v>10</v>
      </c>
      <c r="K41" s="9">
        <v>10</v>
      </c>
      <c r="L41" s="9" t="s">
        <v>530</v>
      </c>
      <c r="M41" s="9" t="s">
        <v>531</v>
      </c>
      <c r="N41" s="32" t="s">
        <v>589</v>
      </c>
      <c r="O41" s="32" t="s">
        <v>590</v>
      </c>
      <c r="P41" s="9"/>
      <c r="Q41" s="9"/>
      <c r="R41" s="9"/>
      <c r="S41" s="9" t="s">
        <v>32</v>
      </c>
      <c r="T41" s="9" t="s">
        <v>534</v>
      </c>
    </row>
    <row r="42" spans="1:20" ht="17.399999999999999" x14ac:dyDescent="0.3">
      <c r="A42" s="9" t="s">
        <v>587</v>
      </c>
      <c r="B42" s="9" t="s">
        <v>617</v>
      </c>
      <c r="C42" s="9" t="s">
        <v>524</v>
      </c>
      <c r="D42" s="10">
        <v>45910</v>
      </c>
      <c r="E42" s="9" t="s">
        <v>525</v>
      </c>
      <c r="F42" s="9" t="s">
        <v>542</v>
      </c>
      <c r="G42" s="9" t="s">
        <v>618</v>
      </c>
      <c r="H42" s="9" t="s">
        <v>568</v>
      </c>
      <c r="I42" s="9" t="s">
        <v>529</v>
      </c>
      <c r="J42" s="9">
        <v>1</v>
      </c>
      <c r="K42" s="9">
        <v>1</v>
      </c>
      <c r="L42" s="9" t="s">
        <v>530</v>
      </c>
      <c r="M42" s="9" t="s">
        <v>531</v>
      </c>
      <c r="N42" s="32" t="s">
        <v>589</v>
      </c>
      <c r="O42" s="32" t="s">
        <v>590</v>
      </c>
      <c r="P42" s="9"/>
      <c r="Q42" s="9"/>
      <c r="R42" s="9"/>
      <c r="S42" s="9" t="s">
        <v>32</v>
      </c>
      <c r="T42" s="9" t="s">
        <v>534</v>
      </c>
    </row>
    <row r="43" spans="1:20" ht="17.399999999999999" x14ac:dyDescent="0.3">
      <c r="A43" s="9" t="s">
        <v>587</v>
      </c>
      <c r="B43" s="9" t="s">
        <v>619</v>
      </c>
      <c r="C43" s="9" t="s">
        <v>524</v>
      </c>
      <c r="D43" s="10">
        <v>45910</v>
      </c>
      <c r="E43" s="9" t="s">
        <v>525</v>
      </c>
      <c r="F43" s="9" t="s">
        <v>542</v>
      </c>
      <c r="G43" s="9" t="s">
        <v>543</v>
      </c>
      <c r="H43" s="9" t="s">
        <v>544</v>
      </c>
      <c r="I43" s="9" t="s">
        <v>529</v>
      </c>
      <c r="J43" s="9">
        <v>1</v>
      </c>
      <c r="K43" s="9">
        <v>1</v>
      </c>
      <c r="L43" s="9" t="s">
        <v>530</v>
      </c>
      <c r="M43" s="9" t="s">
        <v>531</v>
      </c>
      <c r="N43" s="32" t="s">
        <v>589</v>
      </c>
      <c r="O43" s="32" t="s">
        <v>590</v>
      </c>
      <c r="P43" s="9"/>
      <c r="Q43" s="9"/>
      <c r="R43" s="9"/>
      <c r="S43" s="9" t="s">
        <v>32</v>
      </c>
      <c r="T43" s="9" t="s">
        <v>534</v>
      </c>
    </row>
    <row r="44" spans="1:20" ht="17.399999999999999" x14ac:dyDescent="0.3">
      <c r="A44" s="9" t="s">
        <v>560</v>
      </c>
      <c r="B44" s="9" t="s">
        <v>561</v>
      </c>
      <c r="C44" s="9" t="s">
        <v>524</v>
      </c>
      <c r="D44" s="10">
        <v>45909</v>
      </c>
      <c r="E44" s="9" t="s">
        <v>525</v>
      </c>
      <c r="F44" s="9" t="s">
        <v>526</v>
      </c>
      <c r="G44" s="9" t="s">
        <v>562</v>
      </c>
      <c r="H44" s="9" t="s">
        <v>563</v>
      </c>
      <c r="I44" s="9" t="s">
        <v>529</v>
      </c>
      <c r="J44" s="9">
        <v>2</v>
      </c>
      <c r="K44" s="9">
        <v>2</v>
      </c>
      <c r="L44" s="9" t="s">
        <v>530</v>
      </c>
      <c r="M44" s="9" t="s">
        <v>531</v>
      </c>
      <c r="N44" s="32" t="s">
        <v>564</v>
      </c>
      <c r="O44" s="32" t="s">
        <v>565</v>
      </c>
      <c r="P44" s="9"/>
      <c r="Q44" s="9"/>
      <c r="R44" s="9"/>
      <c r="S44" s="9" t="s">
        <v>32</v>
      </c>
      <c r="T44" s="9" t="s">
        <v>534</v>
      </c>
    </row>
    <row r="45" spans="1:20" ht="17.399999999999999" x14ac:dyDescent="0.3">
      <c r="A45" s="9" t="s">
        <v>560</v>
      </c>
      <c r="B45" s="9" t="s">
        <v>566</v>
      </c>
      <c r="C45" s="9" t="s">
        <v>524</v>
      </c>
      <c r="D45" s="10">
        <v>45909</v>
      </c>
      <c r="E45" s="9" t="s">
        <v>525</v>
      </c>
      <c r="F45" s="9" t="s">
        <v>542</v>
      </c>
      <c r="G45" s="9" t="s">
        <v>567</v>
      </c>
      <c r="H45" s="9" t="s">
        <v>568</v>
      </c>
      <c r="I45" s="9" t="s">
        <v>529</v>
      </c>
      <c r="J45" s="9">
        <v>2</v>
      </c>
      <c r="K45" s="9">
        <v>2</v>
      </c>
      <c r="L45" s="9" t="s">
        <v>530</v>
      </c>
      <c r="M45" s="9" t="s">
        <v>531</v>
      </c>
      <c r="N45" s="32" t="s">
        <v>564</v>
      </c>
      <c r="O45" s="32" t="s">
        <v>565</v>
      </c>
      <c r="P45" s="9"/>
      <c r="Q45" s="9"/>
      <c r="R45" s="9"/>
      <c r="S45" s="9" t="s">
        <v>32</v>
      </c>
      <c r="T45" s="9" t="s">
        <v>534</v>
      </c>
    </row>
    <row r="46" spans="1:20" ht="17.399999999999999" x14ac:dyDescent="0.3">
      <c r="A46" s="9" t="s">
        <v>560</v>
      </c>
      <c r="B46" s="9" t="s">
        <v>569</v>
      </c>
      <c r="C46" s="9" t="s">
        <v>524</v>
      </c>
      <c r="D46" s="10">
        <v>45909</v>
      </c>
      <c r="E46" s="9" t="s">
        <v>525</v>
      </c>
      <c r="F46" s="9" t="s">
        <v>526</v>
      </c>
      <c r="G46" s="9" t="s">
        <v>570</v>
      </c>
      <c r="H46" s="9" t="s">
        <v>571</v>
      </c>
      <c r="I46" s="9" t="s">
        <v>529</v>
      </c>
      <c r="J46" s="9">
        <v>1</v>
      </c>
      <c r="K46" s="9">
        <v>1</v>
      </c>
      <c r="L46" s="9" t="s">
        <v>530</v>
      </c>
      <c r="M46" s="9" t="s">
        <v>531</v>
      </c>
      <c r="N46" s="32" t="s">
        <v>564</v>
      </c>
      <c r="O46" s="32" t="s">
        <v>565</v>
      </c>
      <c r="P46" s="9"/>
      <c r="Q46" s="9"/>
      <c r="R46" s="9"/>
      <c r="S46" s="9" t="s">
        <v>32</v>
      </c>
      <c r="T46" s="9" t="s">
        <v>534</v>
      </c>
    </row>
    <row r="47" spans="1:20" ht="17.399999999999999" x14ac:dyDescent="0.3">
      <c r="A47" s="9" t="s">
        <v>560</v>
      </c>
      <c r="B47" s="9" t="s">
        <v>572</v>
      </c>
      <c r="C47" s="9" t="s">
        <v>524</v>
      </c>
      <c r="D47" s="10">
        <v>45909</v>
      </c>
      <c r="E47" s="9" t="s">
        <v>525</v>
      </c>
      <c r="F47" s="9" t="s">
        <v>573</v>
      </c>
      <c r="G47" s="9" t="s">
        <v>574</v>
      </c>
      <c r="H47" s="9" t="s">
        <v>575</v>
      </c>
      <c r="I47" s="9" t="s">
        <v>529</v>
      </c>
      <c r="J47" s="9">
        <v>2</v>
      </c>
      <c r="K47" s="9">
        <v>2</v>
      </c>
      <c r="L47" s="9" t="s">
        <v>530</v>
      </c>
      <c r="M47" s="9" t="s">
        <v>531</v>
      </c>
      <c r="N47" s="32" t="s">
        <v>564</v>
      </c>
      <c r="O47" s="32" t="s">
        <v>565</v>
      </c>
      <c r="P47" s="9"/>
      <c r="Q47" s="9"/>
      <c r="R47" s="9"/>
      <c r="S47" s="9" t="s">
        <v>32</v>
      </c>
      <c r="T47" s="9" t="s">
        <v>534</v>
      </c>
    </row>
    <row r="48" spans="1:20" ht="17.399999999999999" x14ac:dyDescent="0.3">
      <c r="A48" s="9" t="s">
        <v>560</v>
      </c>
      <c r="B48" s="9" t="s">
        <v>576</v>
      </c>
      <c r="C48" s="9" t="s">
        <v>524</v>
      </c>
      <c r="D48" s="10">
        <v>45909</v>
      </c>
      <c r="E48" s="9" t="s">
        <v>525</v>
      </c>
      <c r="F48" s="9" t="s">
        <v>526</v>
      </c>
      <c r="G48" s="9" t="s">
        <v>577</v>
      </c>
      <c r="H48" s="9" t="s">
        <v>578</v>
      </c>
      <c r="I48" s="9" t="s">
        <v>529</v>
      </c>
      <c r="J48" s="9">
        <v>1</v>
      </c>
      <c r="K48" s="9">
        <v>1</v>
      </c>
      <c r="L48" s="9" t="s">
        <v>530</v>
      </c>
      <c r="M48" s="9" t="s">
        <v>531</v>
      </c>
      <c r="N48" s="32" t="s">
        <v>564</v>
      </c>
      <c r="O48" s="32" t="s">
        <v>565</v>
      </c>
      <c r="P48" s="9"/>
      <c r="Q48" s="9"/>
      <c r="R48" s="9"/>
      <c r="S48" s="9" t="s">
        <v>32</v>
      </c>
      <c r="T48" s="9" t="s">
        <v>534</v>
      </c>
    </row>
    <row r="49" spans="1:20" ht="17.399999999999999" x14ac:dyDescent="0.3">
      <c r="A49" s="9" t="s">
        <v>560</v>
      </c>
      <c r="B49" s="9" t="s">
        <v>579</v>
      </c>
      <c r="C49" s="9" t="s">
        <v>524</v>
      </c>
      <c r="D49" s="10">
        <v>45909</v>
      </c>
      <c r="E49" s="9" t="s">
        <v>525</v>
      </c>
      <c r="F49" s="9" t="s">
        <v>580</v>
      </c>
      <c r="G49" s="9" t="s">
        <v>581</v>
      </c>
      <c r="H49" s="9" t="s">
        <v>582</v>
      </c>
      <c r="I49" s="9" t="s">
        <v>529</v>
      </c>
      <c r="J49" s="9">
        <v>1</v>
      </c>
      <c r="K49" s="9">
        <v>1</v>
      </c>
      <c r="L49" s="9" t="s">
        <v>530</v>
      </c>
      <c r="M49" s="9" t="s">
        <v>531</v>
      </c>
      <c r="N49" s="32" t="s">
        <v>564</v>
      </c>
      <c r="O49" s="32" t="s">
        <v>565</v>
      </c>
      <c r="P49" s="9"/>
      <c r="Q49" s="9"/>
      <c r="R49" s="9"/>
      <c r="S49" s="9" t="s">
        <v>32</v>
      </c>
      <c r="T49" s="9" t="s">
        <v>534</v>
      </c>
    </row>
    <row r="50" spans="1:20" ht="17.399999999999999" x14ac:dyDescent="0.3">
      <c r="A50" s="9" t="s">
        <v>560</v>
      </c>
      <c r="B50" s="9" t="s">
        <v>583</v>
      </c>
      <c r="C50" s="9" t="s">
        <v>524</v>
      </c>
      <c r="D50" s="10">
        <v>45909</v>
      </c>
      <c r="E50" s="9" t="s">
        <v>525</v>
      </c>
      <c r="F50" s="9" t="s">
        <v>584</v>
      </c>
      <c r="G50" s="9" t="s">
        <v>585</v>
      </c>
      <c r="H50" s="9" t="s">
        <v>586</v>
      </c>
      <c r="I50" s="9" t="s">
        <v>529</v>
      </c>
      <c r="J50" s="9">
        <v>1</v>
      </c>
      <c r="K50" s="9">
        <v>1</v>
      </c>
      <c r="L50" s="9" t="s">
        <v>530</v>
      </c>
      <c r="M50" s="9" t="s">
        <v>531</v>
      </c>
      <c r="N50" s="32" t="s">
        <v>564</v>
      </c>
      <c r="O50" s="32" t="s">
        <v>565</v>
      </c>
      <c r="P50" s="9"/>
      <c r="Q50" s="9"/>
      <c r="R50" s="9"/>
      <c r="S50" s="9" t="s">
        <v>32</v>
      </c>
      <c r="T50" s="9" t="s">
        <v>534</v>
      </c>
    </row>
    <row r="51" spans="1:20" ht="17.399999999999999" x14ac:dyDescent="0.3">
      <c r="A51" s="9" t="s">
        <v>650</v>
      </c>
      <c r="B51" s="9" t="s">
        <v>651</v>
      </c>
      <c r="C51" s="9" t="s">
        <v>524</v>
      </c>
      <c r="D51" s="10">
        <v>45911</v>
      </c>
      <c r="E51" s="9" t="s">
        <v>525</v>
      </c>
      <c r="F51" s="9" t="s">
        <v>573</v>
      </c>
      <c r="G51" s="9" t="s">
        <v>652</v>
      </c>
      <c r="H51" s="9" t="s">
        <v>575</v>
      </c>
      <c r="I51" s="9" t="s">
        <v>5</v>
      </c>
      <c r="J51" s="9">
        <v>1</v>
      </c>
      <c r="K51" s="9">
        <v>1</v>
      </c>
      <c r="L51" s="9" t="s">
        <v>530</v>
      </c>
      <c r="M51" s="9" t="s">
        <v>531</v>
      </c>
      <c r="N51" s="32" t="s">
        <v>653</v>
      </c>
      <c r="O51" s="32" t="s">
        <v>654</v>
      </c>
      <c r="P51" s="9"/>
      <c r="Q51" s="9"/>
      <c r="R51" s="9"/>
      <c r="S51" s="9" t="s">
        <v>32</v>
      </c>
      <c r="T51" s="9" t="s">
        <v>534</v>
      </c>
    </row>
    <row r="52" spans="1:20" ht="17.399999999999999" x14ac:dyDescent="0.3">
      <c r="A52" s="9" t="s">
        <v>650</v>
      </c>
      <c r="B52" s="9" t="s">
        <v>655</v>
      </c>
      <c r="C52" s="9" t="s">
        <v>524</v>
      </c>
      <c r="D52" s="10">
        <v>45911</v>
      </c>
      <c r="E52" s="9" t="s">
        <v>525</v>
      </c>
      <c r="F52" s="9" t="s">
        <v>645</v>
      </c>
      <c r="G52" s="9" t="s">
        <v>656</v>
      </c>
      <c r="H52" s="9" t="s">
        <v>657</v>
      </c>
      <c r="I52" s="9" t="s">
        <v>27</v>
      </c>
      <c r="J52" s="9">
        <v>1</v>
      </c>
      <c r="K52" s="9">
        <v>1</v>
      </c>
      <c r="L52" s="9" t="s">
        <v>530</v>
      </c>
      <c r="M52" s="9" t="s">
        <v>531</v>
      </c>
      <c r="N52" s="32" t="s">
        <v>653</v>
      </c>
      <c r="O52" s="32" t="s">
        <v>654</v>
      </c>
      <c r="P52" s="9"/>
      <c r="Q52" s="9"/>
      <c r="R52" s="9"/>
      <c r="S52" s="9" t="s">
        <v>32</v>
      </c>
      <c r="T52" s="9" t="s">
        <v>534</v>
      </c>
    </row>
    <row r="53" spans="1:20" ht="17.399999999999999" x14ac:dyDescent="0.3">
      <c r="A53" s="9" t="s">
        <v>650</v>
      </c>
      <c r="B53" s="9" t="s">
        <v>658</v>
      </c>
      <c r="C53" s="9" t="s">
        <v>524</v>
      </c>
      <c r="D53" s="10">
        <v>45911</v>
      </c>
      <c r="E53" s="9" t="s">
        <v>525</v>
      </c>
      <c r="F53" s="9" t="s">
        <v>542</v>
      </c>
      <c r="G53" s="9" t="s">
        <v>659</v>
      </c>
      <c r="H53" s="9" t="s">
        <v>660</v>
      </c>
      <c r="I53" s="9" t="s">
        <v>609</v>
      </c>
      <c r="J53" s="9">
        <v>4</v>
      </c>
      <c r="K53" s="9">
        <v>4</v>
      </c>
      <c r="L53" s="9" t="s">
        <v>530</v>
      </c>
      <c r="M53" s="9" t="s">
        <v>531</v>
      </c>
      <c r="N53" s="32" t="s">
        <v>653</v>
      </c>
      <c r="O53" s="32" t="s">
        <v>654</v>
      </c>
      <c r="P53" s="9"/>
      <c r="Q53" s="9"/>
      <c r="R53" s="9"/>
      <c r="S53" s="9" t="s">
        <v>32</v>
      </c>
      <c r="T53" s="9" t="s">
        <v>534</v>
      </c>
    </row>
    <row r="54" spans="1:20" ht="17.399999999999999" x14ac:dyDescent="0.3">
      <c r="A54" s="9" t="s">
        <v>650</v>
      </c>
      <c r="B54" s="9" t="s">
        <v>661</v>
      </c>
      <c r="C54" s="9" t="s">
        <v>524</v>
      </c>
      <c r="D54" s="10">
        <v>45911</v>
      </c>
      <c r="E54" s="9" t="s">
        <v>525</v>
      </c>
      <c r="F54" s="9" t="s">
        <v>542</v>
      </c>
      <c r="G54" s="9" t="s">
        <v>662</v>
      </c>
      <c r="H54" s="9" t="s">
        <v>614</v>
      </c>
      <c r="I54" s="9" t="s">
        <v>663</v>
      </c>
      <c r="J54" s="9">
        <v>1</v>
      </c>
      <c r="K54" s="9">
        <v>1</v>
      </c>
      <c r="L54" s="9" t="s">
        <v>530</v>
      </c>
      <c r="M54" s="9" t="s">
        <v>531</v>
      </c>
      <c r="N54" s="32" t="s">
        <v>653</v>
      </c>
      <c r="O54" s="32" t="s">
        <v>654</v>
      </c>
      <c r="P54" s="9"/>
      <c r="Q54" s="9"/>
      <c r="R54" s="9"/>
      <c r="S54" s="9" t="s">
        <v>32</v>
      </c>
      <c r="T54" s="9" t="s">
        <v>534</v>
      </c>
    </row>
    <row r="55" spans="1:20" x14ac:dyDescent="0.3">
      <c r="J55">
        <f>SUM(J2:J54)</f>
        <v>99</v>
      </c>
      <c r="K55">
        <f>SUM(K2:K54)</f>
        <v>99</v>
      </c>
    </row>
  </sheetData>
  <sortState xmlns:xlrd2="http://schemas.microsoft.com/office/spreadsheetml/2017/richdata2" ref="A2:T54">
    <sortCondition ref="A1:A5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B30A3-FD46-4534-BFF2-4CCAA7F3FADA}">
  <dimension ref="A1:Z104"/>
  <sheetViews>
    <sheetView topLeftCell="G1" workbookViewId="0">
      <selection activeCell="V13" sqref="V13"/>
    </sheetView>
  </sheetViews>
  <sheetFormatPr defaultRowHeight="14.4" x14ac:dyDescent="0.3"/>
  <cols>
    <col min="1" max="1" width="9.21875" bestFit="1" customWidth="1"/>
    <col min="2" max="2" width="13.21875" hidden="1" customWidth="1"/>
    <col min="3" max="3" width="20.6640625" hidden="1" customWidth="1"/>
    <col min="4" max="4" width="11.6640625" hidden="1" customWidth="1"/>
    <col min="5" max="5" width="9.21875" bestFit="1" customWidth="1"/>
    <col min="6" max="6" width="15.21875" bestFit="1" customWidth="1"/>
    <col min="7" max="8" width="26" bestFit="1" customWidth="1"/>
    <col min="9" max="9" width="11" bestFit="1" customWidth="1"/>
    <col min="10" max="10" width="16" bestFit="1" customWidth="1"/>
    <col min="11" max="11" width="18" bestFit="1" customWidth="1"/>
    <col min="12" max="12" width="22.5546875" bestFit="1" customWidth="1"/>
    <col min="13" max="13" width="17" bestFit="1" customWidth="1"/>
    <col min="14" max="20" width="0" hidden="1" customWidth="1"/>
    <col min="22" max="22" width="17.21875" bestFit="1" customWidth="1"/>
    <col min="23" max="23" width="6.6640625" bestFit="1" customWidth="1"/>
    <col min="25" max="25" width="21.5546875" bestFit="1" customWidth="1"/>
    <col min="26" max="26" width="6.6640625" bestFit="1" customWidth="1"/>
  </cols>
  <sheetData>
    <row r="1" spans="1:26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5" t="s">
        <v>15</v>
      </c>
      <c r="Q1" s="6" t="s">
        <v>16</v>
      </c>
      <c r="R1" s="6" t="s">
        <v>17</v>
      </c>
      <c r="S1" s="7" t="s">
        <v>18</v>
      </c>
      <c r="T1" s="8" t="s">
        <v>19</v>
      </c>
    </row>
    <row r="2" spans="1:26" ht="15.6" x14ac:dyDescent="0.3">
      <c r="A2" s="9" t="s">
        <v>896</v>
      </c>
      <c r="B2" s="9" t="s">
        <v>897</v>
      </c>
      <c r="C2" s="9" t="s">
        <v>683</v>
      </c>
      <c r="D2" s="10">
        <v>45911</v>
      </c>
      <c r="E2" s="9" t="s">
        <v>684</v>
      </c>
      <c r="F2" s="9" t="s">
        <v>636</v>
      </c>
      <c r="G2" s="9" t="s">
        <v>636</v>
      </c>
      <c r="H2" s="9" t="s">
        <v>722</v>
      </c>
      <c r="I2" s="9" t="s">
        <v>5</v>
      </c>
      <c r="J2" s="9">
        <v>1</v>
      </c>
      <c r="K2" s="9">
        <v>1</v>
      </c>
      <c r="L2" s="9" t="s">
        <v>530</v>
      </c>
      <c r="M2" s="9" t="s">
        <v>29</v>
      </c>
      <c r="N2" s="9" t="s">
        <v>179</v>
      </c>
      <c r="O2" s="9" t="s">
        <v>94</v>
      </c>
      <c r="P2" s="9"/>
      <c r="Q2" s="9"/>
      <c r="R2" s="9"/>
      <c r="S2" s="9" t="s">
        <v>32</v>
      </c>
      <c r="T2" s="9" t="s">
        <v>534</v>
      </c>
      <c r="V2" t="s">
        <v>680</v>
      </c>
      <c r="W2" s="31" t="s">
        <v>520</v>
      </c>
      <c r="Y2" t="s">
        <v>521</v>
      </c>
      <c r="Z2" t="s">
        <v>520</v>
      </c>
    </row>
    <row r="3" spans="1:26" ht="15.6" x14ac:dyDescent="0.3">
      <c r="A3" s="9" t="s">
        <v>885</v>
      </c>
      <c r="B3" s="9" t="s">
        <v>886</v>
      </c>
      <c r="C3" s="9" t="s">
        <v>683</v>
      </c>
      <c r="D3" s="10">
        <v>45911</v>
      </c>
      <c r="E3" s="9" t="s">
        <v>684</v>
      </c>
      <c r="F3" s="9" t="s">
        <v>636</v>
      </c>
      <c r="G3" s="9" t="s">
        <v>636</v>
      </c>
      <c r="H3" s="9" t="s">
        <v>722</v>
      </c>
      <c r="I3" s="9" t="s">
        <v>5</v>
      </c>
      <c r="J3" s="9">
        <v>5</v>
      </c>
      <c r="K3" s="9">
        <v>5</v>
      </c>
      <c r="L3" s="9" t="s">
        <v>530</v>
      </c>
      <c r="M3" s="9" t="s">
        <v>29</v>
      </c>
      <c r="N3" s="9" t="s">
        <v>277</v>
      </c>
      <c r="O3" s="9" t="s">
        <v>278</v>
      </c>
      <c r="P3" s="9"/>
      <c r="Q3" s="9"/>
      <c r="R3" s="9"/>
      <c r="S3" s="9" t="s">
        <v>32</v>
      </c>
      <c r="T3" s="9" t="s">
        <v>534</v>
      </c>
      <c r="V3" t="str" cm="1">
        <f t="array" ref="V3:V8">_xlfn.UNIQUE(H2:H10)</f>
        <v>True_bug</v>
      </c>
      <c r="W3">
        <f>SUMIF($H$2:$H$10, V3, $J$2:$J$10)</f>
        <v>7</v>
      </c>
      <c r="Y3" t="str" cm="1">
        <f t="array" ref="Y3:Y18">_xlfn.UNIQUE(H11:H103)</f>
        <v>Spider</v>
      </c>
      <c r="Z3">
        <f>SUMIF($H$11:$H$103, Y3, $J$11:$J$103)</f>
        <v>32</v>
      </c>
    </row>
    <row r="4" spans="1:26" ht="15.6" x14ac:dyDescent="0.3">
      <c r="A4" s="9" t="s">
        <v>885</v>
      </c>
      <c r="B4" s="9" t="s">
        <v>887</v>
      </c>
      <c r="C4" s="9" t="s">
        <v>683</v>
      </c>
      <c r="D4" s="10">
        <v>45911</v>
      </c>
      <c r="E4" s="9" t="s">
        <v>684</v>
      </c>
      <c r="F4" s="9" t="s">
        <v>542</v>
      </c>
      <c r="G4" s="9" t="s">
        <v>542</v>
      </c>
      <c r="H4" s="9" t="s">
        <v>677</v>
      </c>
      <c r="I4" s="9" t="s">
        <v>5</v>
      </c>
      <c r="J4" s="9">
        <v>2</v>
      </c>
      <c r="K4" s="9">
        <v>2</v>
      </c>
      <c r="L4" s="9" t="s">
        <v>530</v>
      </c>
      <c r="M4" s="9" t="s">
        <v>29</v>
      </c>
      <c r="N4" s="9" t="s">
        <v>277</v>
      </c>
      <c r="O4" s="9" t="s">
        <v>278</v>
      </c>
      <c r="P4" s="9"/>
      <c r="Q4" s="9"/>
      <c r="R4" s="9"/>
      <c r="S4" s="9" t="s">
        <v>32</v>
      </c>
      <c r="T4" s="9" t="s">
        <v>534</v>
      </c>
      <c r="V4" t="str">
        <v>Fly</v>
      </c>
      <c r="W4">
        <f t="shared" ref="W4:W8" si="0">SUMIF($H$2:$H$10, V4, $J$2:$J$10)</f>
        <v>2</v>
      </c>
      <c r="Y4" t="str">
        <v>Tick</v>
      </c>
      <c r="Z4">
        <f t="shared" ref="Z4:Z18" si="1">SUMIF($H$11:$H$103, Y4, $J$11:$J$103)</f>
        <v>166</v>
      </c>
    </row>
    <row r="5" spans="1:26" ht="15.6" x14ac:dyDescent="0.3">
      <c r="A5" s="9" t="s">
        <v>888</v>
      </c>
      <c r="B5" s="9" t="s">
        <v>889</v>
      </c>
      <c r="C5" s="9" t="s">
        <v>683</v>
      </c>
      <c r="D5" s="10">
        <v>45911</v>
      </c>
      <c r="E5" s="9" t="s">
        <v>684</v>
      </c>
      <c r="F5" s="9" t="s">
        <v>636</v>
      </c>
      <c r="G5" s="9" t="s">
        <v>636</v>
      </c>
      <c r="H5" s="9" t="s">
        <v>722</v>
      </c>
      <c r="I5" s="9" t="s">
        <v>5</v>
      </c>
      <c r="J5" s="9">
        <v>1</v>
      </c>
      <c r="K5" s="9">
        <v>1</v>
      </c>
      <c r="L5" s="9" t="s">
        <v>530</v>
      </c>
      <c r="M5" s="9" t="s">
        <v>29</v>
      </c>
      <c r="N5" s="9" t="s">
        <v>257</v>
      </c>
      <c r="O5" s="9" t="s">
        <v>258</v>
      </c>
      <c r="P5" s="9"/>
      <c r="Q5" s="9"/>
      <c r="R5" s="9"/>
      <c r="S5" s="9" t="s">
        <v>32</v>
      </c>
      <c r="T5" s="9" t="s">
        <v>534</v>
      </c>
      <c r="V5" t="str">
        <v>Aphid</v>
      </c>
      <c r="W5">
        <f t="shared" si="0"/>
        <v>1</v>
      </c>
      <c r="Y5" t="str">
        <v>Dor_beetle</v>
      </c>
      <c r="Z5">
        <f t="shared" si="1"/>
        <v>2</v>
      </c>
    </row>
    <row r="6" spans="1:26" ht="15.6" x14ac:dyDescent="0.3">
      <c r="A6" s="35" t="s">
        <v>888</v>
      </c>
      <c r="B6" s="35" t="s">
        <v>890</v>
      </c>
      <c r="C6" s="35" t="s">
        <v>683</v>
      </c>
      <c r="D6" s="36">
        <v>45911</v>
      </c>
      <c r="E6" s="35" t="s">
        <v>684</v>
      </c>
      <c r="F6" s="35" t="s">
        <v>636</v>
      </c>
      <c r="G6" s="35" t="s">
        <v>842</v>
      </c>
      <c r="H6" s="35" t="s">
        <v>843</v>
      </c>
      <c r="I6" s="35" t="s">
        <v>609</v>
      </c>
      <c r="J6" s="35">
        <v>1</v>
      </c>
      <c r="K6" s="35">
        <v>1</v>
      </c>
      <c r="L6" s="35" t="s">
        <v>530</v>
      </c>
      <c r="M6" s="35" t="s">
        <v>29</v>
      </c>
      <c r="N6" s="35" t="s">
        <v>257</v>
      </c>
      <c r="O6" s="35" t="s">
        <v>258</v>
      </c>
      <c r="P6" s="35"/>
      <c r="Q6" s="35"/>
      <c r="R6" s="35"/>
      <c r="S6" s="35" t="s">
        <v>32</v>
      </c>
      <c r="T6" s="35" t="s">
        <v>534</v>
      </c>
      <c r="V6" t="str">
        <v>Ant</v>
      </c>
      <c r="W6">
        <f t="shared" si="0"/>
        <v>2</v>
      </c>
      <c r="Y6" t="str">
        <v>Caterpillar</v>
      </c>
      <c r="Z6">
        <f t="shared" si="1"/>
        <v>4</v>
      </c>
    </row>
    <row r="7" spans="1:26" ht="15.6" x14ac:dyDescent="0.3">
      <c r="A7" s="9" t="s">
        <v>888</v>
      </c>
      <c r="B7" s="9" t="s">
        <v>891</v>
      </c>
      <c r="C7" s="9" t="s">
        <v>683</v>
      </c>
      <c r="D7" s="10">
        <v>45911</v>
      </c>
      <c r="E7" s="9" t="s">
        <v>684</v>
      </c>
      <c r="F7" s="9" t="s">
        <v>645</v>
      </c>
      <c r="G7" s="9" t="s">
        <v>736</v>
      </c>
      <c r="H7" s="9" t="s">
        <v>737</v>
      </c>
      <c r="I7" s="9" t="s">
        <v>609</v>
      </c>
      <c r="J7" s="9">
        <v>1</v>
      </c>
      <c r="K7" s="9">
        <v>1</v>
      </c>
      <c r="L7" s="9" t="s">
        <v>530</v>
      </c>
      <c r="M7" s="9" t="s">
        <v>29</v>
      </c>
      <c r="N7" s="9" t="s">
        <v>257</v>
      </c>
      <c r="O7" s="9" t="s">
        <v>258</v>
      </c>
      <c r="P7" s="9"/>
      <c r="Q7" s="9"/>
      <c r="R7" s="9"/>
      <c r="S7" s="9" t="s">
        <v>32</v>
      </c>
      <c r="T7" s="9" t="s">
        <v>534</v>
      </c>
      <c r="V7" t="str">
        <v>Tick</v>
      </c>
      <c r="W7">
        <f t="shared" si="0"/>
        <v>6</v>
      </c>
      <c r="Y7" t="str">
        <v>Drinker_moth</v>
      </c>
      <c r="Z7">
        <f t="shared" si="1"/>
        <v>1</v>
      </c>
    </row>
    <row r="8" spans="1:26" ht="15.6" x14ac:dyDescent="0.3">
      <c r="A8" s="9" t="s">
        <v>892</v>
      </c>
      <c r="B8" s="9" t="s">
        <v>893</v>
      </c>
      <c r="C8" s="9" t="s">
        <v>683</v>
      </c>
      <c r="D8" s="10">
        <v>45911</v>
      </c>
      <c r="E8" s="9" t="s">
        <v>684</v>
      </c>
      <c r="F8" s="9" t="s">
        <v>645</v>
      </c>
      <c r="G8" s="9" t="s">
        <v>736</v>
      </c>
      <c r="H8" s="9" t="s">
        <v>737</v>
      </c>
      <c r="I8" s="9" t="s">
        <v>609</v>
      </c>
      <c r="J8" s="9">
        <v>1</v>
      </c>
      <c r="K8" s="9">
        <v>1</v>
      </c>
      <c r="L8" s="9" t="s">
        <v>530</v>
      </c>
      <c r="M8" s="9" t="s">
        <v>29</v>
      </c>
      <c r="N8" s="9" t="s">
        <v>250</v>
      </c>
      <c r="O8" s="9" t="s">
        <v>251</v>
      </c>
      <c r="P8" s="9"/>
      <c r="Q8" s="9"/>
      <c r="R8" s="9"/>
      <c r="S8" s="9" t="s">
        <v>32</v>
      </c>
      <c r="T8" s="9" t="s">
        <v>534</v>
      </c>
      <c r="V8" t="str">
        <v>Ground Beetle</v>
      </c>
      <c r="W8">
        <f t="shared" si="0"/>
        <v>7</v>
      </c>
      <c r="Y8" t="str">
        <v>Aphid</v>
      </c>
      <c r="Z8">
        <f t="shared" si="1"/>
        <v>1</v>
      </c>
    </row>
    <row r="9" spans="1:26" ht="15.6" x14ac:dyDescent="0.3">
      <c r="A9" s="9" t="s">
        <v>894</v>
      </c>
      <c r="B9" s="9" t="s">
        <v>895</v>
      </c>
      <c r="C9" s="9" t="s">
        <v>683</v>
      </c>
      <c r="D9" s="10">
        <v>45911</v>
      </c>
      <c r="E9" s="9" t="s">
        <v>684</v>
      </c>
      <c r="F9" s="9" t="s">
        <v>580</v>
      </c>
      <c r="G9" s="9" t="s">
        <v>702</v>
      </c>
      <c r="H9" s="9" t="s">
        <v>703</v>
      </c>
      <c r="I9" s="9" t="s">
        <v>609</v>
      </c>
      <c r="J9" s="9">
        <v>6</v>
      </c>
      <c r="K9" s="9">
        <v>6</v>
      </c>
      <c r="L9" s="9" t="s">
        <v>530</v>
      </c>
      <c r="M9" s="9" t="s">
        <v>29</v>
      </c>
      <c r="N9" s="9" t="s">
        <v>235</v>
      </c>
      <c r="O9" s="9" t="s">
        <v>236</v>
      </c>
      <c r="P9" s="9"/>
      <c r="Q9" s="9"/>
      <c r="R9" s="9"/>
      <c r="S9" s="9" t="s">
        <v>32</v>
      </c>
      <c r="T9" s="9" t="s">
        <v>534</v>
      </c>
      <c r="V9">
        <f>COUNTA(_xlfn.ANCHORARRAY(V3))</f>
        <v>6</v>
      </c>
      <c r="W9">
        <f>SUM(W3:W8)</f>
        <v>25</v>
      </c>
      <c r="Y9" t="str">
        <v>Ant</v>
      </c>
      <c r="Z9">
        <f t="shared" si="1"/>
        <v>5</v>
      </c>
    </row>
    <row r="10" spans="1:26" ht="15.6" x14ac:dyDescent="0.3">
      <c r="A10" s="9" t="s">
        <v>881</v>
      </c>
      <c r="B10" s="9" t="s">
        <v>882</v>
      </c>
      <c r="C10" s="9" t="s">
        <v>683</v>
      </c>
      <c r="D10" s="10">
        <v>45910</v>
      </c>
      <c r="E10" s="9" t="s">
        <v>684</v>
      </c>
      <c r="F10" s="9" t="s">
        <v>695</v>
      </c>
      <c r="G10" s="9" t="s">
        <v>883</v>
      </c>
      <c r="H10" s="9" t="s">
        <v>884</v>
      </c>
      <c r="I10" s="9" t="s">
        <v>609</v>
      </c>
      <c r="J10" s="9">
        <v>7</v>
      </c>
      <c r="K10" s="9">
        <v>7</v>
      </c>
      <c r="L10" s="9" t="s">
        <v>530</v>
      </c>
      <c r="M10" s="9" t="s">
        <v>29</v>
      </c>
      <c r="N10" s="9" t="s">
        <v>223</v>
      </c>
      <c r="O10" s="9" t="s">
        <v>224</v>
      </c>
      <c r="P10" s="9"/>
      <c r="Q10" s="9"/>
      <c r="R10" s="9"/>
      <c r="S10" s="9" t="s">
        <v>32</v>
      </c>
      <c r="T10" s="9" t="s">
        <v>534</v>
      </c>
      <c r="Y10" t="str">
        <v>Thrip</v>
      </c>
      <c r="Z10">
        <f t="shared" si="1"/>
        <v>1</v>
      </c>
    </row>
    <row r="11" spans="1:26" ht="15.6" x14ac:dyDescent="0.3">
      <c r="A11" s="9" t="s">
        <v>824</v>
      </c>
      <c r="B11" s="9" t="s">
        <v>825</v>
      </c>
      <c r="C11" s="9" t="s">
        <v>683</v>
      </c>
      <c r="D11" s="10">
        <v>45911</v>
      </c>
      <c r="E11" s="9" t="s">
        <v>684</v>
      </c>
      <c r="F11" s="9" t="s">
        <v>631</v>
      </c>
      <c r="G11" s="9" t="s">
        <v>631</v>
      </c>
      <c r="H11" s="9" t="s">
        <v>685</v>
      </c>
      <c r="I11" s="9" t="s">
        <v>5</v>
      </c>
      <c r="J11" s="9">
        <v>2</v>
      </c>
      <c r="K11" s="9">
        <v>2</v>
      </c>
      <c r="L11" s="9" t="s">
        <v>530</v>
      </c>
      <c r="M11" s="9" t="s">
        <v>29</v>
      </c>
      <c r="N11" s="9" t="s">
        <v>826</v>
      </c>
      <c r="O11" s="9" t="s">
        <v>827</v>
      </c>
      <c r="P11" s="9"/>
      <c r="Q11" s="9"/>
      <c r="R11" s="9"/>
      <c r="S11" s="9" t="s">
        <v>32</v>
      </c>
      <c r="T11" s="9" t="s">
        <v>534</v>
      </c>
      <c r="Y11" t="str">
        <v>Crane_fly</v>
      </c>
      <c r="Z11">
        <f t="shared" si="1"/>
        <v>1</v>
      </c>
    </row>
    <row r="12" spans="1:26" ht="15.6" x14ac:dyDescent="0.3">
      <c r="A12" s="9" t="s">
        <v>824</v>
      </c>
      <c r="B12" s="9" t="s">
        <v>828</v>
      </c>
      <c r="C12" s="9" t="s">
        <v>683</v>
      </c>
      <c r="D12" s="10">
        <v>45911</v>
      </c>
      <c r="E12" s="9" t="s">
        <v>684</v>
      </c>
      <c r="F12" s="9" t="s">
        <v>580</v>
      </c>
      <c r="G12" s="9" t="s">
        <v>702</v>
      </c>
      <c r="H12" s="9" t="s">
        <v>703</v>
      </c>
      <c r="I12" s="9" t="s">
        <v>609</v>
      </c>
      <c r="J12" s="9">
        <v>4</v>
      </c>
      <c r="K12" s="9">
        <v>4</v>
      </c>
      <c r="L12" s="9" t="s">
        <v>530</v>
      </c>
      <c r="M12" s="9" t="s">
        <v>29</v>
      </c>
      <c r="N12" s="9" t="s">
        <v>826</v>
      </c>
      <c r="O12" s="9" t="s">
        <v>827</v>
      </c>
      <c r="P12" s="9"/>
      <c r="Q12" s="9"/>
      <c r="R12" s="9"/>
      <c r="S12" s="9" t="s">
        <v>32</v>
      </c>
      <c r="T12" s="9" t="s">
        <v>534</v>
      </c>
      <c r="Y12" t="str">
        <v>Insect</v>
      </c>
      <c r="Z12">
        <f t="shared" si="1"/>
        <v>19</v>
      </c>
    </row>
    <row r="13" spans="1:26" ht="15.6" x14ac:dyDescent="0.3">
      <c r="A13" s="9" t="s">
        <v>824</v>
      </c>
      <c r="B13" s="9" t="s">
        <v>829</v>
      </c>
      <c r="C13" s="9" t="s">
        <v>683</v>
      </c>
      <c r="D13" s="10">
        <v>45911</v>
      </c>
      <c r="E13" s="9" t="s">
        <v>684</v>
      </c>
      <c r="F13" s="9" t="s">
        <v>695</v>
      </c>
      <c r="G13" s="9" t="s">
        <v>830</v>
      </c>
      <c r="H13" s="9" t="s">
        <v>774</v>
      </c>
      <c r="I13" s="9" t="s">
        <v>27</v>
      </c>
      <c r="J13" s="9">
        <v>1</v>
      </c>
      <c r="K13" s="9">
        <v>1</v>
      </c>
      <c r="L13" s="9" t="s">
        <v>530</v>
      </c>
      <c r="M13" s="9" t="s">
        <v>29</v>
      </c>
      <c r="N13" s="9" t="s">
        <v>826</v>
      </c>
      <c r="O13" s="9" t="s">
        <v>827</v>
      </c>
      <c r="P13" s="9"/>
      <c r="Q13" s="9"/>
      <c r="R13" s="9"/>
      <c r="S13" s="9" t="s">
        <v>32</v>
      </c>
      <c r="T13" s="9" t="s">
        <v>534</v>
      </c>
      <c r="Y13" t="str">
        <v>True_bug</v>
      </c>
      <c r="Z13">
        <f t="shared" si="1"/>
        <v>8</v>
      </c>
    </row>
    <row r="14" spans="1:26" ht="15.6" x14ac:dyDescent="0.3">
      <c r="A14" s="9" t="s">
        <v>824</v>
      </c>
      <c r="B14" s="9" t="s">
        <v>831</v>
      </c>
      <c r="C14" s="9" t="s">
        <v>683</v>
      </c>
      <c r="D14" s="10">
        <v>45911</v>
      </c>
      <c r="E14" s="9" t="s">
        <v>684</v>
      </c>
      <c r="F14" s="9" t="s">
        <v>767</v>
      </c>
      <c r="G14" s="9" t="s">
        <v>767</v>
      </c>
      <c r="H14" s="9" t="s">
        <v>768</v>
      </c>
      <c r="I14" s="9" t="s">
        <v>5</v>
      </c>
      <c r="J14" s="9">
        <v>1</v>
      </c>
      <c r="K14" s="9">
        <v>1</v>
      </c>
      <c r="L14" s="9" t="s">
        <v>530</v>
      </c>
      <c r="M14" s="9" t="s">
        <v>29</v>
      </c>
      <c r="N14" s="9" t="s">
        <v>826</v>
      </c>
      <c r="O14" s="9" t="s">
        <v>827</v>
      </c>
      <c r="P14" s="9"/>
      <c r="Q14" s="9"/>
      <c r="R14" s="9"/>
      <c r="S14" s="9" t="s">
        <v>32</v>
      </c>
      <c r="T14" s="9" t="s">
        <v>534</v>
      </c>
      <c r="Y14" t="str">
        <v>Fly</v>
      </c>
      <c r="Z14">
        <f t="shared" si="1"/>
        <v>23</v>
      </c>
    </row>
    <row r="15" spans="1:26" ht="15.6" x14ac:dyDescent="0.3">
      <c r="A15" s="9" t="s">
        <v>824</v>
      </c>
      <c r="B15" s="9" t="s">
        <v>832</v>
      </c>
      <c r="C15" s="9" t="s">
        <v>683</v>
      </c>
      <c r="D15" s="10">
        <v>45911</v>
      </c>
      <c r="E15" s="9" t="s">
        <v>684</v>
      </c>
      <c r="F15" s="9" t="s">
        <v>767</v>
      </c>
      <c r="G15" s="9" t="s">
        <v>833</v>
      </c>
      <c r="H15" s="9" t="s">
        <v>834</v>
      </c>
      <c r="I15" s="9" t="s">
        <v>27</v>
      </c>
      <c r="J15" s="9">
        <v>1</v>
      </c>
      <c r="K15" s="9">
        <v>1</v>
      </c>
      <c r="L15" s="9" t="s">
        <v>530</v>
      </c>
      <c r="M15" s="9" t="s">
        <v>29</v>
      </c>
      <c r="N15" s="9" t="s">
        <v>826</v>
      </c>
      <c r="O15" s="9" t="s">
        <v>827</v>
      </c>
      <c r="P15" s="9"/>
      <c r="Q15" s="9"/>
      <c r="R15" s="9"/>
      <c r="S15" s="9" t="s">
        <v>32</v>
      </c>
      <c r="T15" s="9" t="s">
        <v>534</v>
      </c>
      <c r="Y15" t="str">
        <v>Money_spider</v>
      </c>
      <c r="Z15">
        <f t="shared" si="1"/>
        <v>3</v>
      </c>
    </row>
    <row r="16" spans="1:26" ht="15.6" x14ac:dyDescent="0.3">
      <c r="A16" s="9" t="s">
        <v>835</v>
      </c>
      <c r="B16" s="9" t="s">
        <v>836</v>
      </c>
      <c r="C16" s="9" t="s">
        <v>683</v>
      </c>
      <c r="D16" s="10">
        <v>45911</v>
      </c>
      <c r="E16" s="9" t="s">
        <v>684</v>
      </c>
      <c r="F16" s="9" t="s">
        <v>580</v>
      </c>
      <c r="G16" s="9" t="s">
        <v>702</v>
      </c>
      <c r="H16" s="9" t="s">
        <v>703</v>
      </c>
      <c r="I16" s="9" t="s">
        <v>609</v>
      </c>
      <c r="J16" s="9">
        <v>20</v>
      </c>
      <c r="K16" s="9">
        <v>20</v>
      </c>
      <c r="L16" s="9" t="s">
        <v>530</v>
      </c>
      <c r="M16" s="9" t="s">
        <v>29</v>
      </c>
      <c r="N16" s="9" t="s">
        <v>810</v>
      </c>
      <c r="O16" s="9" t="s">
        <v>837</v>
      </c>
      <c r="P16" s="9"/>
      <c r="Q16" s="9"/>
      <c r="R16" s="9"/>
      <c r="S16" s="9" t="s">
        <v>32</v>
      </c>
      <c r="T16" s="9" t="s">
        <v>534</v>
      </c>
      <c r="Y16" t="str">
        <v>Harverstman_spider</v>
      </c>
      <c r="Z16">
        <f t="shared" si="1"/>
        <v>1</v>
      </c>
    </row>
    <row r="17" spans="1:26" ht="15.6" x14ac:dyDescent="0.3">
      <c r="A17" s="9" t="s">
        <v>835</v>
      </c>
      <c r="B17" s="9" t="s">
        <v>838</v>
      </c>
      <c r="C17" s="9" t="s">
        <v>683</v>
      </c>
      <c r="D17" s="10">
        <v>45911</v>
      </c>
      <c r="E17" s="9" t="s">
        <v>684</v>
      </c>
      <c r="F17" s="9" t="s">
        <v>631</v>
      </c>
      <c r="G17" s="9" t="s">
        <v>631</v>
      </c>
      <c r="H17" s="9" t="s">
        <v>685</v>
      </c>
      <c r="I17" s="9" t="s">
        <v>5</v>
      </c>
      <c r="J17" s="9">
        <v>1</v>
      </c>
      <c r="K17" s="9">
        <v>1</v>
      </c>
      <c r="L17" s="9" t="s">
        <v>530</v>
      </c>
      <c r="M17" s="9" t="s">
        <v>29</v>
      </c>
      <c r="N17" s="9" t="s">
        <v>810</v>
      </c>
      <c r="O17" s="9" t="s">
        <v>837</v>
      </c>
      <c r="P17" s="9"/>
      <c r="Q17" s="9"/>
      <c r="R17" s="9"/>
      <c r="S17" s="9" t="s">
        <v>32</v>
      </c>
      <c r="T17" s="9" t="s">
        <v>534</v>
      </c>
      <c r="Y17" t="str">
        <v>Springtail</v>
      </c>
      <c r="Z17">
        <f t="shared" si="1"/>
        <v>1</v>
      </c>
    </row>
    <row r="18" spans="1:26" ht="15.6" x14ac:dyDescent="0.3">
      <c r="A18" s="9" t="s">
        <v>835</v>
      </c>
      <c r="B18" s="9" t="s">
        <v>839</v>
      </c>
      <c r="C18" s="9" t="s">
        <v>683</v>
      </c>
      <c r="D18" s="10">
        <v>45911</v>
      </c>
      <c r="E18" s="9" t="s">
        <v>684</v>
      </c>
      <c r="F18" s="9" t="s">
        <v>631</v>
      </c>
      <c r="G18" s="9" t="s">
        <v>631</v>
      </c>
      <c r="H18" s="9" t="s">
        <v>685</v>
      </c>
      <c r="I18" s="9" t="s">
        <v>5</v>
      </c>
      <c r="J18" s="9">
        <v>1</v>
      </c>
      <c r="K18" s="9">
        <v>1</v>
      </c>
      <c r="L18" s="9" t="s">
        <v>530</v>
      </c>
      <c r="M18" s="9" t="s">
        <v>29</v>
      </c>
      <c r="N18" s="9" t="s">
        <v>810</v>
      </c>
      <c r="O18" s="9" t="s">
        <v>837</v>
      </c>
      <c r="P18" s="9"/>
      <c r="Q18" s="9"/>
      <c r="R18" s="9"/>
      <c r="S18" s="9" t="s">
        <v>32</v>
      </c>
      <c r="T18" s="9" t="s">
        <v>534</v>
      </c>
      <c r="Y18" t="str">
        <v>Woodland_ground_beetle</v>
      </c>
      <c r="Z18">
        <f t="shared" si="1"/>
        <v>1</v>
      </c>
    </row>
    <row r="19" spans="1:26" ht="15.6" x14ac:dyDescent="0.3">
      <c r="A19" s="9" t="s">
        <v>835</v>
      </c>
      <c r="B19" s="9" t="s">
        <v>840</v>
      </c>
      <c r="C19" s="9" t="s">
        <v>683</v>
      </c>
      <c r="D19" s="10">
        <v>45911</v>
      </c>
      <c r="E19" s="9" t="s">
        <v>684</v>
      </c>
      <c r="F19" s="9" t="s">
        <v>631</v>
      </c>
      <c r="G19" s="9" t="s">
        <v>631</v>
      </c>
      <c r="H19" s="9" t="s">
        <v>685</v>
      </c>
      <c r="I19" s="9" t="s">
        <v>5</v>
      </c>
      <c r="J19" s="9">
        <v>1</v>
      </c>
      <c r="K19" s="9">
        <v>1</v>
      </c>
      <c r="L19" s="9" t="s">
        <v>530</v>
      </c>
      <c r="M19" s="9" t="s">
        <v>29</v>
      </c>
      <c r="N19" s="9" t="s">
        <v>810</v>
      </c>
      <c r="O19" s="9" t="s">
        <v>837</v>
      </c>
      <c r="P19" s="9"/>
      <c r="Q19" s="9"/>
      <c r="R19" s="9"/>
      <c r="S19" s="9" t="s">
        <v>32</v>
      </c>
      <c r="T19" s="9" t="s">
        <v>534</v>
      </c>
      <c r="Y19">
        <f>COUNTA(_xlfn.ANCHORARRAY(Y3))</f>
        <v>16</v>
      </c>
      <c r="Z19">
        <f>SUM(Z3:Z18)</f>
        <v>269</v>
      </c>
    </row>
    <row r="20" spans="1:26" ht="15.6" x14ac:dyDescent="0.3">
      <c r="A20" s="9" t="s">
        <v>835</v>
      </c>
      <c r="B20" s="9" t="s">
        <v>841</v>
      </c>
      <c r="C20" s="9" t="s">
        <v>683</v>
      </c>
      <c r="D20" s="10">
        <v>45911</v>
      </c>
      <c r="E20" s="9" t="s">
        <v>684</v>
      </c>
      <c r="F20" s="9" t="s">
        <v>636</v>
      </c>
      <c r="G20" s="9" t="s">
        <v>842</v>
      </c>
      <c r="H20" s="9" t="s">
        <v>843</v>
      </c>
      <c r="I20" s="9" t="s">
        <v>609</v>
      </c>
      <c r="J20" s="9">
        <v>1</v>
      </c>
      <c r="K20" s="9">
        <v>1</v>
      </c>
      <c r="L20" s="9" t="s">
        <v>530</v>
      </c>
      <c r="M20" s="9" t="s">
        <v>29</v>
      </c>
      <c r="N20" s="9" t="s">
        <v>810</v>
      </c>
      <c r="O20" s="9" t="s">
        <v>837</v>
      </c>
      <c r="P20" s="9"/>
      <c r="Q20" s="9"/>
      <c r="R20" s="9"/>
      <c r="S20" s="9" t="s">
        <v>32</v>
      </c>
      <c r="T20" s="9" t="s">
        <v>534</v>
      </c>
    </row>
    <row r="21" spans="1:26" ht="15.6" x14ac:dyDescent="0.3">
      <c r="A21" s="9" t="s">
        <v>844</v>
      </c>
      <c r="B21" s="9" t="s">
        <v>845</v>
      </c>
      <c r="C21" s="9" t="s">
        <v>683</v>
      </c>
      <c r="D21" s="10">
        <v>45911</v>
      </c>
      <c r="E21" s="9" t="s">
        <v>684</v>
      </c>
      <c r="F21" s="9" t="s">
        <v>631</v>
      </c>
      <c r="G21" s="9" t="s">
        <v>631</v>
      </c>
      <c r="H21" s="9" t="s">
        <v>685</v>
      </c>
      <c r="I21" s="9" t="s">
        <v>5</v>
      </c>
      <c r="J21" s="9">
        <v>1</v>
      </c>
      <c r="K21" s="9">
        <v>1</v>
      </c>
      <c r="L21" s="9" t="s">
        <v>530</v>
      </c>
      <c r="M21" s="9" t="s">
        <v>29</v>
      </c>
      <c r="N21" s="9" t="s">
        <v>846</v>
      </c>
      <c r="O21" s="9" t="s">
        <v>847</v>
      </c>
      <c r="P21" s="9"/>
      <c r="Q21" s="9"/>
      <c r="R21" s="9"/>
      <c r="S21" s="9" t="s">
        <v>32</v>
      </c>
      <c r="T21" s="9" t="s">
        <v>534</v>
      </c>
    </row>
    <row r="22" spans="1:26" ht="15.6" x14ac:dyDescent="0.3">
      <c r="A22" s="9" t="s">
        <v>844</v>
      </c>
      <c r="B22" s="9" t="s">
        <v>848</v>
      </c>
      <c r="C22" s="9" t="s">
        <v>683</v>
      </c>
      <c r="D22" s="10">
        <v>45911</v>
      </c>
      <c r="E22" s="9" t="s">
        <v>684</v>
      </c>
      <c r="F22" s="9" t="s">
        <v>580</v>
      </c>
      <c r="G22" s="9" t="s">
        <v>702</v>
      </c>
      <c r="H22" s="9" t="s">
        <v>703</v>
      </c>
      <c r="I22" s="9" t="s">
        <v>609</v>
      </c>
      <c r="J22" s="9">
        <v>1</v>
      </c>
      <c r="K22" s="9">
        <v>1</v>
      </c>
      <c r="L22" s="9" t="s">
        <v>530</v>
      </c>
      <c r="M22" s="9" t="s">
        <v>29</v>
      </c>
      <c r="N22" s="9" t="s">
        <v>846</v>
      </c>
      <c r="O22" s="9" t="s">
        <v>847</v>
      </c>
      <c r="P22" s="9"/>
      <c r="Q22" s="9"/>
      <c r="R22" s="9"/>
      <c r="S22" s="9" t="s">
        <v>32</v>
      </c>
      <c r="T22" s="9" t="s">
        <v>534</v>
      </c>
    </row>
    <row r="23" spans="1:26" ht="15.6" x14ac:dyDescent="0.3">
      <c r="A23" s="9" t="s">
        <v>844</v>
      </c>
      <c r="B23" s="9" t="s">
        <v>849</v>
      </c>
      <c r="C23" s="9" t="s">
        <v>683</v>
      </c>
      <c r="D23" s="10">
        <v>45911</v>
      </c>
      <c r="E23" s="9" t="s">
        <v>684</v>
      </c>
      <c r="F23" s="9" t="s">
        <v>645</v>
      </c>
      <c r="G23" s="9" t="s">
        <v>736</v>
      </c>
      <c r="H23" s="9" t="s">
        <v>737</v>
      </c>
      <c r="I23" s="9" t="s">
        <v>609</v>
      </c>
      <c r="J23" s="9">
        <v>1</v>
      </c>
      <c r="K23" s="9">
        <v>1</v>
      </c>
      <c r="L23" s="9" t="s">
        <v>530</v>
      </c>
      <c r="M23" s="9" t="s">
        <v>29</v>
      </c>
      <c r="N23" s="9" t="s">
        <v>846</v>
      </c>
      <c r="O23" s="9" t="s">
        <v>847</v>
      </c>
      <c r="P23" s="9"/>
      <c r="Q23" s="9"/>
      <c r="R23" s="9"/>
      <c r="S23" s="9" t="s">
        <v>32</v>
      </c>
      <c r="T23" s="9" t="s">
        <v>534</v>
      </c>
    </row>
    <row r="24" spans="1:26" ht="15.6" x14ac:dyDescent="0.3">
      <c r="A24" s="9" t="s">
        <v>844</v>
      </c>
      <c r="B24" s="9" t="s">
        <v>850</v>
      </c>
      <c r="C24" s="9" t="s">
        <v>683</v>
      </c>
      <c r="D24" s="10">
        <v>45911</v>
      </c>
      <c r="E24" s="9" t="s">
        <v>684</v>
      </c>
      <c r="F24" s="9" t="s">
        <v>645</v>
      </c>
      <c r="G24" s="9" t="s">
        <v>736</v>
      </c>
      <c r="H24" s="9" t="s">
        <v>737</v>
      </c>
      <c r="I24" s="9" t="s">
        <v>609</v>
      </c>
      <c r="J24" s="9">
        <v>1</v>
      </c>
      <c r="K24" s="9">
        <v>1</v>
      </c>
      <c r="L24" s="9" t="s">
        <v>530</v>
      </c>
      <c r="M24" s="9" t="s">
        <v>29</v>
      </c>
      <c r="N24" s="9" t="s">
        <v>846</v>
      </c>
      <c r="O24" s="9" t="s">
        <v>847</v>
      </c>
      <c r="P24" s="9"/>
      <c r="Q24" s="9"/>
      <c r="R24" s="9"/>
      <c r="S24" s="9" t="s">
        <v>32</v>
      </c>
      <c r="T24" s="9" t="s">
        <v>534</v>
      </c>
    </row>
    <row r="25" spans="1:26" ht="15.6" x14ac:dyDescent="0.3">
      <c r="A25" s="9" t="s">
        <v>851</v>
      </c>
      <c r="B25" s="9" t="s">
        <v>852</v>
      </c>
      <c r="C25" s="9" t="s">
        <v>683</v>
      </c>
      <c r="D25" s="10">
        <v>45911</v>
      </c>
      <c r="E25" s="9" t="s">
        <v>684</v>
      </c>
      <c r="F25" s="9" t="s">
        <v>631</v>
      </c>
      <c r="G25" s="9" t="s">
        <v>631</v>
      </c>
      <c r="H25" s="9" t="s">
        <v>685</v>
      </c>
      <c r="I25" s="9" t="s">
        <v>5</v>
      </c>
      <c r="J25" s="9">
        <v>1</v>
      </c>
      <c r="K25" s="9">
        <v>1</v>
      </c>
      <c r="L25" s="9" t="s">
        <v>530</v>
      </c>
      <c r="M25" s="9" t="s">
        <v>29</v>
      </c>
      <c r="N25" s="9" t="s">
        <v>853</v>
      </c>
      <c r="O25" s="9" t="s">
        <v>854</v>
      </c>
      <c r="P25" s="9"/>
      <c r="Q25" s="9"/>
      <c r="R25" s="9"/>
      <c r="S25" s="9" t="s">
        <v>32</v>
      </c>
      <c r="T25" s="9" t="s">
        <v>534</v>
      </c>
    </row>
    <row r="26" spans="1:26" ht="15.6" x14ac:dyDescent="0.3">
      <c r="A26" s="9" t="s">
        <v>851</v>
      </c>
      <c r="B26" s="9" t="s">
        <v>855</v>
      </c>
      <c r="C26" s="9" t="s">
        <v>683</v>
      </c>
      <c r="D26" s="10">
        <v>45911</v>
      </c>
      <c r="E26" s="9" t="s">
        <v>684</v>
      </c>
      <c r="F26" s="9" t="s">
        <v>631</v>
      </c>
      <c r="G26" s="9" t="s">
        <v>631</v>
      </c>
      <c r="H26" s="9" t="s">
        <v>685</v>
      </c>
      <c r="I26" s="9" t="s">
        <v>5</v>
      </c>
      <c r="J26" s="9">
        <v>1</v>
      </c>
      <c r="K26" s="9">
        <v>1</v>
      </c>
      <c r="L26" s="9" t="s">
        <v>530</v>
      </c>
      <c r="M26" s="9" t="s">
        <v>29</v>
      </c>
      <c r="N26" s="9" t="s">
        <v>853</v>
      </c>
      <c r="O26" s="9" t="s">
        <v>854</v>
      </c>
      <c r="P26" s="9"/>
      <c r="Q26" s="9"/>
      <c r="R26" s="9"/>
      <c r="S26" s="9" t="s">
        <v>32</v>
      </c>
      <c r="T26" s="9" t="s">
        <v>534</v>
      </c>
    </row>
    <row r="27" spans="1:26" ht="15.6" x14ac:dyDescent="0.3">
      <c r="A27" s="9" t="s">
        <v>856</v>
      </c>
      <c r="B27" s="9" t="s">
        <v>857</v>
      </c>
      <c r="C27" s="9" t="s">
        <v>683</v>
      </c>
      <c r="D27" s="10">
        <v>45911</v>
      </c>
      <c r="E27" s="9" t="s">
        <v>684</v>
      </c>
      <c r="F27" s="9" t="s">
        <v>580</v>
      </c>
      <c r="G27" s="9" t="s">
        <v>702</v>
      </c>
      <c r="H27" s="9" t="s">
        <v>703</v>
      </c>
      <c r="I27" s="9" t="s">
        <v>609</v>
      </c>
      <c r="J27" s="9">
        <v>1</v>
      </c>
      <c r="K27" s="9">
        <v>1</v>
      </c>
      <c r="L27" s="9" t="s">
        <v>530</v>
      </c>
      <c r="M27" s="9" t="s">
        <v>29</v>
      </c>
      <c r="N27" s="9" t="s">
        <v>858</v>
      </c>
      <c r="O27" s="9" t="s">
        <v>859</v>
      </c>
      <c r="P27" s="9"/>
      <c r="Q27" s="9"/>
      <c r="R27" s="9"/>
      <c r="S27" s="9" t="s">
        <v>32</v>
      </c>
      <c r="T27" s="9" t="s">
        <v>534</v>
      </c>
    </row>
    <row r="28" spans="1:26" ht="15.6" x14ac:dyDescent="0.3">
      <c r="A28" s="9" t="s">
        <v>860</v>
      </c>
      <c r="B28" s="9" t="s">
        <v>861</v>
      </c>
      <c r="C28" s="9" t="s">
        <v>683</v>
      </c>
      <c r="D28" s="10">
        <v>45911</v>
      </c>
      <c r="E28" s="9" t="s">
        <v>684</v>
      </c>
      <c r="F28" s="9" t="s">
        <v>580</v>
      </c>
      <c r="G28" s="9" t="s">
        <v>702</v>
      </c>
      <c r="H28" s="9" t="s">
        <v>703</v>
      </c>
      <c r="I28" s="9" t="s">
        <v>609</v>
      </c>
      <c r="J28" s="9">
        <v>4</v>
      </c>
      <c r="K28" s="9">
        <v>4</v>
      </c>
      <c r="L28" s="9" t="s">
        <v>530</v>
      </c>
      <c r="M28" s="9" t="s">
        <v>29</v>
      </c>
      <c r="N28" s="9" t="s">
        <v>862</v>
      </c>
      <c r="O28" s="9" t="s">
        <v>863</v>
      </c>
      <c r="P28" s="9"/>
      <c r="Q28" s="9"/>
      <c r="R28" s="9"/>
      <c r="S28" s="9" t="s">
        <v>32</v>
      </c>
      <c r="T28" s="9" t="s">
        <v>534</v>
      </c>
    </row>
    <row r="29" spans="1:26" ht="15.6" x14ac:dyDescent="0.3">
      <c r="A29" s="9" t="s">
        <v>860</v>
      </c>
      <c r="B29" s="9" t="s">
        <v>864</v>
      </c>
      <c r="C29" s="9" t="s">
        <v>683</v>
      </c>
      <c r="D29" s="10">
        <v>45911</v>
      </c>
      <c r="E29" s="9" t="s">
        <v>684</v>
      </c>
      <c r="F29" s="9" t="s">
        <v>645</v>
      </c>
      <c r="G29" s="9" t="s">
        <v>736</v>
      </c>
      <c r="H29" s="9" t="s">
        <v>737</v>
      </c>
      <c r="I29" s="9" t="s">
        <v>609</v>
      </c>
      <c r="J29" s="9">
        <v>1</v>
      </c>
      <c r="K29" s="9">
        <v>1</v>
      </c>
      <c r="L29" s="9" t="s">
        <v>530</v>
      </c>
      <c r="M29" s="9" t="s">
        <v>29</v>
      </c>
      <c r="N29" s="9" t="s">
        <v>862</v>
      </c>
      <c r="O29" s="9" t="s">
        <v>863</v>
      </c>
      <c r="P29" s="9"/>
      <c r="Q29" s="9"/>
      <c r="R29" s="9"/>
      <c r="S29" s="9" t="s">
        <v>32</v>
      </c>
      <c r="T29" s="9" t="s">
        <v>534</v>
      </c>
    </row>
    <row r="30" spans="1:26" ht="15.6" x14ac:dyDescent="0.3">
      <c r="A30" s="9" t="s">
        <v>860</v>
      </c>
      <c r="B30" s="9" t="s">
        <v>865</v>
      </c>
      <c r="C30" s="9" t="s">
        <v>683</v>
      </c>
      <c r="D30" s="10">
        <v>45911</v>
      </c>
      <c r="E30" s="9" t="s">
        <v>684</v>
      </c>
      <c r="F30" s="9" t="s">
        <v>631</v>
      </c>
      <c r="G30" s="9" t="s">
        <v>631</v>
      </c>
      <c r="H30" s="9" t="s">
        <v>685</v>
      </c>
      <c r="I30" s="9" t="s">
        <v>5</v>
      </c>
      <c r="J30" s="9">
        <v>1</v>
      </c>
      <c r="K30" s="9">
        <v>1</v>
      </c>
      <c r="L30" s="9" t="s">
        <v>530</v>
      </c>
      <c r="M30" s="9" t="s">
        <v>29</v>
      </c>
      <c r="N30" s="9" t="s">
        <v>862</v>
      </c>
      <c r="O30" s="9" t="s">
        <v>863</v>
      </c>
      <c r="P30" s="9"/>
      <c r="Q30" s="9"/>
      <c r="R30" s="9"/>
      <c r="S30" s="9" t="s">
        <v>32</v>
      </c>
      <c r="T30" s="9" t="s">
        <v>534</v>
      </c>
    </row>
    <row r="31" spans="1:26" ht="15.6" x14ac:dyDescent="0.3">
      <c r="A31" s="9" t="s">
        <v>860</v>
      </c>
      <c r="B31" s="9" t="s">
        <v>866</v>
      </c>
      <c r="C31" s="9" t="s">
        <v>683</v>
      </c>
      <c r="D31" s="10">
        <v>45911</v>
      </c>
      <c r="E31" s="9" t="s">
        <v>684</v>
      </c>
      <c r="F31" s="9" t="s">
        <v>867</v>
      </c>
      <c r="G31" s="9" t="s">
        <v>867</v>
      </c>
      <c r="H31" s="9" t="s">
        <v>868</v>
      </c>
      <c r="I31" s="9" t="s">
        <v>5</v>
      </c>
      <c r="J31" s="9">
        <v>1</v>
      </c>
      <c r="K31" s="9">
        <v>1</v>
      </c>
      <c r="L31" s="9" t="s">
        <v>530</v>
      </c>
      <c r="M31" s="9" t="s">
        <v>29</v>
      </c>
      <c r="N31" s="9" t="s">
        <v>862</v>
      </c>
      <c r="O31" s="9" t="s">
        <v>863</v>
      </c>
      <c r="P31" s="9"/>
      <c r="Q31" s="9"/>
      <c r="R31" s="9"/>
      <c r="S31" s="9" t="s">
        <v>32</v>
      </c>
      <c r="T31" s="9" t="s">
        <v>534</v>
      </c>
    </row>
    <row r="32" spans="1:26" ht="15.6" x14ac:dyDescent="0.3">
      <c r="A32" s="9" t="s">
        <v>860</v>
      </c>
      <c r="B32" s="9" t="s">
        <v>869</v>
      </c>
      <c r="C32" s="9" t="s">
        <v>683</v>
      </c>
      <c r="D32" s="10">
        <v>45911</v>
      </c>
      <c r="E32" s="9" t="s">
        <v>684</v>
      </c>
      <c r="F32" s="9" t="s">
        <v>542</v>
      </c>
      <c r="G32" s="9" t="s">
        <v>662</v>
      </c>
      <c r="H32" s="9" t="s">
        <v>616</v>
      </c>
      <c r="I32" s="9" t="s">
        <v>609</v>
      </c>
      <c r="J32" s="9">
        <v>1</v>
      </c>
      <c r="K32" s="9">
        <v>1</v>
      </c>
      <c r="L32" s="9" t="s">
        <v>530</v>
      </c>
      <c r="M32" s="9" t="s">
        <v>29</v>
      </c>
      <c r="N32" s="9" t="s">
        <v>862</v>
      </c>
      <c r="O32" s="9" t="s">
        <v>863</v>
      </c>
      <c r="P32" s="9"/>
      <c r="Q32" s="9"/>
      <c r="R32" s="9"/>
      <c r="S32" s="9" t="s">
        <v>32</v>
      </c>
      <c r="T32" s="9" t="s">
        <v>534</v>
      </c>
    </row>
    <row r="33" spans="1:20" ht="15.6" x14ac:dyDescent="0.3">
      <c r="A33" s="9" t="s">
        <v>870</v>
      </c>
      <c r="B33" s="9" t="s">
        <v>871</v>
      </c>
      <c r="C33" s="9" t="s">
        <v>683</v>
      </c>
      <c r="D33" s="10">
        <v>45911</v>
      </c>
      <c r="E33" s="9" t="s">
        <v>684</v>
      </c>
      <c r="F33" s="9" t="s">
        <v>631</v>
      </c>
      <c r="G33" s="9" t="s">
        <v>631</v>
      </c>
      <c r="H33" s="9" t="s">
        <v>685</v>
      </c>
      <c r="I33" s="9" t="s">
        <v>5</v>
      </c>
      <c r="J33" s="9">
        <v>2</v>
      </c>
      <c r="K33" s="9">
        <v>2</v>
      </c>
      <c r="L33" s="9" t="s">
        <v>530</v>
      </c>
      <c r="M33" s="9" t="s">
        <v>29</v>
      </c>
      <c r="N33" s="9" t="s">
        <v>872</v>
      </c>
      <c r="O33" s="9" t="s">
        <v>873</v>
      </c>
      <c r="P33" s="9"/>
      <c r="Q33" s="9"/>
      <c r="R33" s="9"/>
      <c r="S33" s="9" t="s">
        <v>32</v>
      </c>
      <c r="T33" s="9" t="s">
        <v>534</v>
      </c>
    </row>
    <row r="34" spans="1:20" ht="15.6" x14ac:dyDescent="0.3">
      <c r="A34" s="9" t="s">
        <v>874</v>
      </c>
      <c r="B34" s="9" t="s">
        <v>875</v>
      </c>
      <c r="C34" s="9" t="s">
        <v>683</v>
      </c>
      <c r="D34" s="10">
        <v>45911</v>
      </c>
      <c r="E34" s="9" t="s">
        <v>684</v>
      </c>
      <c r="F34" s="9" t="s">
        <v>580</v>
      </c>
      <c r="G34" s="9" t="s">
        <v>702</v>
      </c>
      <c r="H34" s="9" t="s">
        <v>703</v>
      </c>
      <c r="I34" s="9" t="s">
        <v>609</v>
      </c>
      <c r="J34" s="9">
        <v>3</v>
      </c>
      <c r="K34" s="9">
        <v>3</v>
      </c>
      <c r="L34" s="9" t="s">
        <v>530</v>
      </c>
      <c r="M34" s="9" t="s">
        <v>29</v>
      </c>
      <c r="N34" s="9" t="s">
        <v>876</v>
      </c>
      <c r="O34" s="9" t="s">
        <v>877</v>
      </c>
      <c r="P34" s="9"/>
      <c r="Q34" s="9"/>
      <c r="R34" s="9"/>
      <c r="S34" s="9" t="s">
        <v>32</v>
      </c>
      <c r="T34" s="9" t="s">
        <v>534</v>
      </c>
    </row>
    <row r="35" spans="1:20" ht="15.6" x14ac:dyDescent="0.3">
      <c r="A35" s="9" t="s">
        <v>874</v>
      </c>
      <c r="B35" s="9" t="s">
        <v>878</v>
      </c>
      <c r="C35" s="9" t="s">
        <v>683</v>
      </c>
      <c r="D35" s="10">
        <v>45911</v>
      </c>
      <c r="E35" s="9" t="s">
        <v>684</v>
      </c>
      <c r="F35" s="9" t="s">
        <v>631</v>
      </c>
      <c r="G35" s="9" t="s">
        <v>631</v>
      </c>
      <c r="H35" s="9" t="s">
        <v>685</v>
      </c>
      <c r="I35" s="9" t="s">
        <v>5</v>
      </c>
      <c r="J35" s="9">
        <v>1</v>
      </c>
      <c r="K35" s="9">
        <v>1</v>
      </c>
      <c r="L35" s="9" t="s">
        <v>530</v>
      </c>
      <c r="M35" s="9" t="s">
        <v>29</v>
      </c>
      <c r="N35" s="9" t="s">
        <v>876</v>
      </c>
      <c r="O35" s="9" t="s">
        <v>877</v>
      </c>
      <c r="P35" s="9"/>
      <c r="Q35" s="9"/>
      <c r="R35" s="9"/>
      <c r="S35" s="9" t="s">
        <v>32</v>
      </c>
      <c r="T35" s="9" t="s">
        <v>534</v>
      </c>
    </row>
    <row r="36" spans="1:20" ht="15.6" x14ac:dyDescent="0.3">
      <c r="A36" s="9" t="s">
        <v>874</v>
      </c>
      <c r="B36" s="9" t="s">
        <v>879</v>
      </c>
      <c r="C36" s="9" t="s">
        <v>683</v>
      </c>
      <c r="D36" s="10">
        <v>45911</v>
      </c>
      <c r="E36" s="9" t="s">
        <v>684</v>
      </c>
      <c r="F36" s="9" t="s">
        <v>688</v>
      </c>
      <c r="G36" s="9" t="s">
        <v>688</v>
      </c>
      <c r="H36" s="9" t="s">
        <v>689</v>
      </c>
      <c r="I36" s="9" t="s">
        <v>5</v>
      </c>
      <c r="J36" s="9">
        <v>2</v>
      </c>
      <c r="K36" s="9">
        <v>2</v>
      </c>
      <c r="L36" s="9" t="s">
        <v>530</v>
      </c>
      <c r="M36" s="9" t="s">
        <v>29</v>
      </c>
      <c r="N36" s="9" t="s">
        <v>876</v>
      </c>
      <c r="O36" s="9" t="s">
        <v>877</v>
      </c>
      <c r="P36" s="9"/>
      <c r="Q36" s="9"/>
      <c r="R36" s="9"/>
      <c r="S36" s="9" t="s">
        <v>32</v>
      </c>
      <c r="T36" s="9" t="s">
        <v>534</v>
      </c>
    </row>
    <row r="37" spans="1:20" ht="15.6" x14ac:dyDescent="0.3">
      <c r="A37" s="9" t="s">
        <v>874</v>
      </c>
      <c r="B37" s="9" t="s">
        <v>880</v>
      </c>
      <c r="C37" s="9" t="s">
        <v>683</v>
      </c>
      <c r="D37" s="10">
        <v>45911</v>
      </c>
      <c r="E37" s="9" t="s">
        <v>684</v>
      </c>
      <c r="F37" s="9" t="s">
        <v>636</v>
      </c>
      <c r="G37" s="9" t="s">
        <v>636</v>
      </c>
      <c r="H37" s="9" t="s">
        <v>722</v>
      </c>
      <c r="I37" s="9" t="s">
        <v>5</v>
      </c>
      <c r="J37" s="9">
        <v>1</v>
      </c>
      <c r="K37" s="9">
        <v>1</v>
      </c>
      <c r="L37" s="9" t="s">
        <v>530</v>
      </c>
      <c r="M37" s="9" t="s">
        <v>29</v>
      </c>
      <c r="N37" s="9" t="s">
        <v>876</v>
      </c>
      <c r="O37" s="9" t="s">
        <v>877</v>
      </c>
      <c r="P37" s="9"/>
      <c r="Q37" s="9"/>
      <c r="R37" s="9"/>
      <c r="S37" s="9" t="s">
        <v>32</v>
      </c>
      <c r="T37" s="9" t="s">
        <v>534</v>
      </c>
    </row>
    <row r="38" spans="1:20" ht="15.6" x14ac:dyDescent="0.3">
      <c r="A38" s="9" t="s">
        <v>777</v>
      </c>
      <c r="B38" s="9" t="s">
        <v>778</v>
      </c>
      <c r="C38" s="9" t="s">
        <v>683</v>
      </c>
      <c r="D38" s="10">
        <v>45911</v>
      </c>
      <c r="E38" s="9" t="s">
        <v>684</v>
      </c>
      <c r="F38" s="9" t="s">
        <v>580</v>
      </c>
      <c r="G38" s="9" t="s">
        <v>702</v>
      </c>
      <c r="H38" s="9" t="s">
        <v>703</v>
      </c>
      <c r="I38" s="9" t="s">
        <v>609</v>
      </c>
      <c r="J38" s="9">
        <v>11</v>
      </c>
      <c r="K38" s="9">
        <v>11</v>
      </c>
      <c r="L38" s="9" t="s">
        <v>530</v>
      </c>
      <c r="M38" s="9" t="s">
        <v>29</v>
      </c>
      <c r="N38" s="9" t="s">
        <v>779</v>
      </c>
      <c r="O38" s="9" t="s">
        <v>780</v>
      </c>
      <c r="P38" s="9"/>
      <c r="Q38" s="9"/>
      <c r="R38" s="9"/>
      <c r="S38" s="9" t="s">
        <v>32</v>
      </c>
      <c r="T38" s="9" t="s">
        <v>534</v>
      </c>
    </row>
    <row r="39" spans="1:20" ht="15.6" x14ac:dyDescent="0.3">
      <c r="A39" s="9" t="s">
        <v>777</v>
      </c>
      <c r="B39" s="9" t="s">
        <v>781</v>
      </c>
      <c r="C39" s="9" t="s">
        <v>683</v>
      </c>
      <c r="D39" s="10">
        <v>45911</v>
      </c>
      <c r="E39" s="9" t="s">
        <v>684</v>
      </c>
      <c r="F39" s="9" t="s">
        <v>631</v>
      </c>
      <c r="G39" s="9" t="s">
        <v>631</v>
      </c>
      <c r="H39" s="9" t="s">
        <v>685</v>
      </c>
      <c r="I39" s="9" t="s">
        <v>5</v>
      </c>
      <c r="J39" s="9">
        <v>1</v>
      </c>
      <c r="K39" s="9">
        <v>1</v>
      </c>
      <c r="L39" s="9" t="s">
        <v>530</v>
      </c>
      <c r="M39" s="9" t="s">
        <v>29</v>
      </c>
      <c r="N39" s="9" t="s">
        <v>779</v>
      </c>
      <c r="O39" s="9" t="s">
        <v>780</v>
      </c>
      <c r="P39" s="9"/>
      <c r="Q39" s="9"/>
      <c r="R39" s="9"/>
      <c r="S39" s="9" t="s">
        <v>32</v>
      </c>
      <c r="T39" s="9" t="s">
        <v>534</v>
      </c>
    </row>
    <row r="40" spans="1:20" ht="15.6" x14ac:dyDescent="0.3">
      <c r="A40" s="9" t="s">
        <v>782</v>
      </c>
      <c r="B40" s="9" t="s">
        <v>783</v>
      </c>
      <c r="C40" s="9" t="s">
        <v>683</v>
      </c>
      <c r="D40" s="10">
        <v>45911</v>
      </c>
      <c r="E40" s="9" t="s">
        <v>684</v>
      </c>
      <c r="F40" s="9" t="s">
        <v>580</v>
      </c>
      <c r="G40" s="9" t="s">
        <v>702</v>
      </c>
      <c r="H40" s="9" t="s">
        <v>703</v>
      </c>
      <c r="I40" s="9" t="s">
        <v>609</v>
      </c>
      <c r="J40" s="9">
        <v>13</v>
      </c>
      <c r="K40" s="9">
        <v>13</v>
      </c>
      <c r="L40" s="9" t="s">
        <v>530</v>
      </c>
      <c r="M40" s="9" t="s">
        <v>29</v>
      </c>
      <c r="N40" s="9" t="s">
        <v>784</v>
      </c>
      <c r="O40" s="9" t="s">
        <v>785</v>
      </c>
      <c r="P40" s="9"/>
      <c r="Q40" s="9"/>
      <c r="R40" s="9"/>
      <c r="S40" s="9" t="s">
        <v>32</v>
      </c>
      <c r="T40" s="9" t="s">
        <v>534</v>
      </c>
    </row>
    <row r="41" spans="1:20" ht="15.6" x14ac:dyDescent="0.3">
      <c r="A41" s="9" t="s">
        <v>782</v>
      </c>
      <c r="B41" s="9" t="s">
        <v>786</v>
      </c>
      <c r="C41" s="9" t="s">
        <v>683</v>
      </c>
      <c r="D41" s="10">
        <v>45911</v>
      </c>
      <c r="E41" s="9" t="s">
        <v>684</v>
      </c>
      <c r="F41" s="9" t="s">
        <v>688</v>
      </c>
      <c r="G41" s="9" t="s">
        <v>688</v>
      </c>
      <c r="H41" s="9" t="s">
        <v>689</v>
      </c>
      <c r="I41" s="9" t="s">
        <v>5</v>
      </c>
      <c r="J41" s="9">
        <v>1</v>
      </c>
      <c r="K41" s="9">
        <v>1</v>
      </c>
      <c r="L41" s="9" t="s">
        <v>530</v>
      </c>
      <c r="M41" s="9" t="s">
        <v>29</v>
      </c>
      <c r="N41" s="9" t="s">
        <v>784</v>
      </c>
      <c r="O41" s="9" t="s">
        <v>785</v>
      </c>
      <c r="P41" s="9"/>
      <c r="Q41" s="9"/>
      <c r="R41" s="9"/>
      <c r="S41" s="9" t="s">
        <v>32</v>
      </c>
      <c r="T41" s="9" t="s">
        <v>534</v>
      </c>
    </row>
    <row r="42" spans="1:20" ht="15.6" x14ac:dyDescent="0.3">
      <c r="A42" s="9" t="s">
        <v>782</v>
      </c>
      <c r="B42" s="9" t="s">
        <v>787</v>
      </c>
      <c r="C42" s="9" t="s">
        <v>683</v>
      </c>
      <c r="D42" s="10">
        <v>45911</v>
      </c>
      <c r="E42" s="9" t="s">
        <v>684</v>
      </c>
      <c r="F42" s="9" t="s">
        <v>767</v>
      </c>
      <c r="G42" s="9" t="s">
        <v>767</v>
      </c>
      <c r="H42" s="9" t="s">
        <v>768</v>
      </c>
      <c r="I42" s="9" t="s">
        <v>5</v>
      </c>
      <c r="J42" s="9">
        <v>2</v>
      </c>
      <c r="K42" s="9">
        <v>2</v>
      </c>
      <c r="L42" s="9" t="s">
        <v>530</v>
      </c>
      <c r="M42" s="9" t="s">
        <v>29</v>
      </c>
      <c r="N42" s="9" t="s">
        <v>784</v>
      </c>
      <c r="O42" s="9" t="s">
        <v>785</v>
      </c>
      <c r="P42" s="9"/>
      <c r="Q42" s="9"/>
      <c r="R42" s="9"/>
      <c r="S42" s="9" t="s">
        <v>32</v>
      </c>
      <c r="T42" s="9" t="s">
        <v>534</v>
      </c>
    </row>
    <row r="43" spans="1:20" ht="15.6" x14ac:dyDescent="0.3">
      <c r="A43" s="9" t="s">
        <v>788</v>
      </c>
      <c r="B43" s="9" t="s">
        <v>789</v>
      </c>
      <c r="C43" s="9" t="s">
        <v>683</v>
      </c>
      <c r="D43" s="10">
        <v>45911</v>
      </c>
      <c r="E43" s="9" t="s">
        <v>684</v>
      </c>
      <c r="F43" s="9" t="s">
        <v>580</v>
      </c>
      <c r="G43" s="9" t="s">
        <v>702</v>
      </c>
      <c r="H43" s="9" t="s">
        <v>703</v>
      </c>
      <c r="I43" s="9" t="s">
        <v>609</v>
      </c>
      <c r="J43" s="9">
        <v>19</v>
      </c>
      <c r="K43" s="9">
        <v>19</v>
      </c>
      <c r="L43" s="9" t="s">
        <v>530</v>
      </c>
      <c r="M43" s="9" t="s">
        <v>29</v>
      </c>
      <c r="N43" s="9" t="s">
        <v>775</v>
      </c>
      <c r="O43" s="9" t="s">
        <v>776</v>
      </c>
      <c r="P43" s="9"/>
      <c r="Q43" s="9"/>
      <c r="R43" s="9"/>
      <c r="S43" s="9" t="s">
        <v>32</v>
      </c>
      <c r="T43" s="9" t="s">
        <v>534</v>
      </c>
    </row>
    <row r="44" spans="1:20" ht="15.6" x14ac:dyDescent="0.3">
      <c r="A44" s="35" t="s">
        <v>788</v>
      </c>
      <c r="B44" s="35" t="s">
        <v>790</v>
      </c>
      <c r="C44" s="35" t="s">
        <v>683</v>
      </c>
      <c r="D44" s="36">
        <v>45911</v>
      </c>
      <c r="E44" s="35" t="s">
        <v>684</v>
      </c>
      <c r="F44" s="35" t="s">
        <v>631</v>
      </c>
      <c r="G44" s="35" t="s">
        <v>631</v>
      </c>
      <c r="H44" s="35" t="s">
        <v>685</v>
      </c>
      <c r="I44" s="35" t="s">
        <v>5</v>
      </c>
      <c r="J44" s="35">
        <v>1</v>
      </c>
      <c r="K44" s="35">
        <v>1</v>
      </c>
      <c r="L44" s="35" t="s">
        <v>530</v>
      </c>
      <c r="M44" s="35" t="s">
        <v>29</v>
      </c>
      <c r="N44" s="35" t="s">
        <v>775</v>
      </c>
      <c r="O44" s="35" t="s">
        <v>776</v>
      </c>
      <c r="P44" s="35"/>
      <c r="Q44" s="35"/>
      <c r="R44" s="35"/>
      <c r="S44" s="35" t="s">
        <v>32</v>
      </c>
      <c r="T44" s="35" t="s">
        <v>534</v>
      </c>
    </row>
    <row r="45" spans="1:20" ht="15.6" x14ac:dyDescent="0.3">
      <c r="A45" s="35" t="s">
        <v>791</v>
      </c>
      <c r="B45" s="35" t="s">
        <v>792</v>
      </c>
      <c r="C45" s="35" t="s">
        <v>683</v>
      </c>
      <c r="D45" s="37">
        <v>45911</v>
      </c>
      <c r="E45" s="35" t="s">
        <v>684</v>
      </c>
      <c r="F45" s="35" t="s">
        <v>580</v>
      </c>
      <c r="G45" s="38" t="s">
        <v>702</v>
      </c>
      <c r="H45" s="35" t="s">
        <v>703</v>
      </c>
      <c r="I45" s="35" t="s">
        <v>609</v>
      </c>
      <c r="J45" s="35">
        <v>48</v>
      </c>
      <c r="K45" s="35">
        <v>48</v>
      </c>
      <c r="L45" s="35" t="s">
        <v>530</v>
      </c>
      <c r="M45" s="35" t="s">
        <v>29</v>
      </c>
      <c r="N45" s="38" t="s">
        <v>793</v>
      </c>
      <c r="O45" s="38" t="s">
        <v>794</v>
      </c>
      <c r="P45" s="35"/>
      <c r="Q45" s="35"/>
      <c r="R45" s="35"/>
      <c r="S45" s="35" t="s">
        <v>32</v>
      </c>
      <c r="T45" s="35" t="s">
        <v>534</v>
      </c>
    </row>
    <row r="46" spans="1:20" ht="15.6" x14ac:dyDescent="0.3">
      <c r="A46" s="9" t="s">
        <v>791</v>
      </c>
      <c r="B46" s="9" t="s">
        <v>795</v>
      </c>
      <c r="C46" s="9" t="s">
        <v>683</v>
      </c>
      <c r="D46" s="10">
        <v>45911</v>
      </c>
      <c r="E46" s="9" t="s">
        <v>684</v>
      </c>
      <c r="F46" s="9" t="s">
        <v>636</v>
      </c>
      <c r="G46" s="9" t="s">
        <v>636</v>
      </c>
      <c r="H46" s="9" t="s">
        <v>722</v>
      </c>
      <c r="I46" s="9" t="s">
        <v>5</v>
      </c>
      <c r="J46" s="9">
        <v>1</v>
      </c>
      <c r="K46" s="9">
        <v>1</v>
      </c>
      <c r="L46" s="9" t="s">
        <v>530</v>
      </c>
      <c r="M46" s="9" t="s">
        <v>29</v>
      </c>
      <c r="N46" s="9" t="s">
        <v>793</v>
      </c>
      <c r="O46" s="9" t="s">
        <v>794</v>
      </c>
      <c r="P46" s="9"/>
      <c r="Q46" s="9"/>
      <c r="R46" s="9"/>
      <c r="S46" s="9" t="s">
        <v>32</v>
      </c>
      <c r="T46" s="9" t="s">
        <v>534</v>
      </c>
    </row>
    <row r="47" spans="1:20" ht="15.6" x14ac:dyDescent="0.3">
      <c r="A47" s="9" t="s">
        <v>791</v>
      </c>
      <c r="B47" s="9" t="s">
        <v>796</v>
      </c>
      <c r="C47" s="9" t="s">
        <v>683</v>
      </c>
      <c r="D47" s="10">
        <v>45911</v>
      </c>
      <c r="E47" s="9" t="s">
        <v>684</v>
      </c>
      <c r="F47" s="9" t="s">
        <v>636</v>
      </c>
      <c r="G47" s="9" t="s">
        <v>636</v>
      </c>
      <c r="H47" s="9" t="s">
        <v>722</v>
      </c>
      <c r="I47" s="9" t="s">
        <v>5</v>
      </c>
      <c r="J47" s="9">
        <v>1</v>
      </c>
      <c r="K47" s="9">
        <v>1</v>
      </c>
      <c r="L47" s="9" t="s">
        <v>530</v>
      </c>
      <c r="M47" s="9" t="s">
        <v>29</v>
      </c>
      <c r="N47" s="9" t="s">
        <v>793</v>
      </c>
      <c r="O47" s="9" t="s">
        <v>794</v>
      </c>
      <c r="P47" s="9"/>
      <c r="Q47" s="9"/>
      <c r="R47" s="9"/>
      <c r="S47" s="9" t="s">
        <v>32</v>
      </c>
      <c r="T47" s="9" t="s">
        <v>534</v>
      </c>
    </row>
    <row r="48" spans="1:20" ht="15.6" x14ac:dyDescent="0.3">
      <c r="A48" s="9" t="s">
        <v>797</v>
      </c>
      <c r="B48" s="9" t="s">
        <v>798</v>
      </c>
      <c r="C48" s="9" t="s">
        <v>683</v>
      </c>
      <c r="D48" s="10">
        <v>45911</v>
      </c>
      <c r="E48" s="9" t="s">
        <v>684</v>
      </c>
      <c r="F48" s="9" t="s">
        <v>580</v>
      </c>
      <c r="G48" s="9" t="s">
        <v>702</v>
      </c>
      <c r="H48" s="9" t="s">
        <v>703</v>
      </c>
      <c r="I48" s="9" t="s">
        <v>609</v>
      </c>
      <c r="J48" s="9">
        <v>25</v>
      </c>
      <c r="K48" s="9">
        <v>25</v>
      </c>
      <c r="L48" s="9" t="s">
        <v>530</v>
      </c>
      <c r="M48" s="9" t="s">
        <v>29</v>
      </c>
      <c r="N48" s="9" t="s">
        <v>799</v>
      </c>
      <c r="O48" s="9" t="s">
        <v>800</v>
      </c>
      <c r="P48" s="9"/>
      <c r="Q48" s="9"/>
      <c r="R48" s="9"/>
      <c r="S48" s="9" t="s">
        <v>32</v>
      </c>
      <c r="T48" s="9" t="s">
        <v>534</v>
      </c>
    </row>
    <row r="49" spans="1:20" ht="15.6" x14ac:dyDescent="0.3">
      <c r="A49" s="9" t="s">
        <v>797</v>
      </c>
      <c r="B49" s="9" t="s">
        <v>801</v>
      </c>
      <c r="C49" s="9" t="s">
        <v>683</v>
      </c>
      <c r="D49" s="10">
        <v>45911</v>
      </c>
      <c r="E49" s="9" t="s">
        <v>684</v>
      </c>
      <c r="F49" s="9" t="s">
        <v>542</v>
      </c>
      <c r="G49" s="9" t="s">
        <v>542</v>
      </c>
      <c r="H49" s="9" t="s">
        <v>677</v>
      </c>
      <c r="I49" s="9" t="s">
        <v>5</v>
      </c>
      <c r="J49" s="9">
        <v>1</v>
      </c>
      <c r="K49" s="9">
        <v>1</v>
      </c>
      <c r="L49" s="9" t="s">
        <v>530</v>
      </c>
      <c r="M49" s="9" t="s">
        <v>29</v>
      </c>
      <c r="N49" s="9" t="s">
        <v>799</v>
      </c>
      <c r="O49" s="9" t="s">
        <v>800</v>
      </c>
      <c r="P49" s="9"/>
      <c r="Q49" s="9"/>
      <c r="R49" s="9"/>
      <c r="S49" s="9" t="s">
        <v>32</v>
      </c>
      <c r="T49" s="9" t="s">
        <v>534</v>
      </c>
    </row>
    <row r="50" spans="1:20" ht="15.6" x14ac:dyDescent="0.3">
      <c r="A50" s="9" t="s">
        <v>797</v>
      </c>
      <c r="B50" s="9" t="s">
        <v>802</v>
      </c>
      <c r="C50" s="9" t="s">
        <v>683</v>
      </c>
      <c r="D50" s="10">
        <v>45911</v>
      </c>
      <c r="E50" s="9" t="s">
        <v>684</v>
      </c>
      <c r="F50" s="9" t="s">
        <v>636</v>
      </c>
      <c r="G50" s="9" t="s">
        <v>636</v>
      </c>
      <c r="H50" s="9" t="s">
        <v>722</v>
      </c>
      <c r="I50" s="9" t="s">
        <v>5</v>
      </c>
      <c r="J50" s="9">
        <v>1</v>
      </c>
      <c r="K50" s="9">
        <v>1</v>
      </c>
      <c r="L50" s="9" t="s">
        <v>530</v>
      </c>
      <c r="M50" s="9" t="s">
        <v>29</v>
      </c>
      <c r="N50" s="9" t="s">
        <v>799</v>
      </c>
      <c r="O50" s="9" t="s">
        <v>800</v>
      </c>
      <c r="P50" s="9"/>
      <c r="Q50" s="9"/>
      <c r="R50" s="9"/>
      <c r="S50" s="9" t="s">
        <v>32</v>
      </c>
      <c r="T50" s="9" t="s">
        <v>534</v>
      </c>
    </row>
    <row r="51" spans="1:20" ht="15.6" x14ac:dyDescent="0.3">
      <c r="A51" s="9" t="s">
        <v>797</v>
      </c>
      <c r="B51" s="9" t="s">
        <v>803</v>
      </c>
      <c r="C51" s="9" t="s">
        <v>683</v>
      </c>
      <c r="D51" s="10">
        <v>45911</v>
      </c>
      <c r="E51" s="9" t="s">
        <v>684</v>
      </c>
      <c r="F51" s="9" t="s">
        <v>688</v>
      </c>
      <c r="G51" s="9" t="s">
        <v>688</v>
      </c>
      <c r="H51" s="9" t="s">
        <v>689</v>
      </c>
      <c r="I51" s="9" t="s">
        <v>5</v>
      </c>
      <c r="J51" s="9">
        <v>4</v>
      </c>
      <c r="K51" s="9">
        <v>4</v>
      </c>
      <c r="L51" s="9" t="s">
        <v>530</v>
      </c>
      <c r="M51" s="9" t="s">
        <v>29</v>
      </c>
      <c r="N51" s="9" t="s">
        <v>799</v>
      </c>
      <c r="O51" s="9" t="s">
        <v>800</v>
      </c>
      <c r="P51" s="9"/>
      <c r="Q51" s="9"/>
      <c r="R51" s="9"/>
      <c r="S51" s="9" t="s">
        <v>32</v>
      </c>
      <c r="T51" s="9" t="s">
        <v>534</v>
      </c>
    </row>
    <row r="52" spans="1:20" ht="15.6" x14ac:dyDescent="0.3">
      <c r="A52" s="9" t="s">
        <v>804</v>
      </c>
      <c r="B52" s="9" t="s">
        <v>805</v>
      </c>
      <c r="C52" s="9" t="s">
        <v>683</v>
      </c>
      <c r="D52" s="10">
        <v>45911</v>
      </c>
      <c r="E52" s="9" t="s">
        <v>684</v>
      </c>
      <c r="F52" s="9" t="s">
        <v>631</v>
      </c>
      <c r="G52" s="9" t="s">
        <v>631</v>
      </c>
      <c r="H52" s="9" t="s">
        <v>685</v>
      </c>
      <c r="I52" s="9" t="s">
        <v>5</v>
      </c>
      <c r="J52" s="9">
        <v>1</v>
      </c>
      <c r="K52" s="9">
        <v>1</v>
      </c>
      <c r="L52" s="9" t="s">
        <v>530</v>
      </c>
      <c r="M52" s="9" t="s">
        <v>29</v>
      </c>
      <c r="N52" s="9" t="s">
        <v>806</v>
      </c>
      <c r="O52" s="9" t="s">
        <v>807</v>
      </c>
      <c r="P52" s="9"/>
      <c r="Q52" s="9"/>
      <c r="R52" s="9"/>
      <c r="S52" s="9" t="s">
        <v>32</v>
      </c>
      <c r="T52" s="9" t="s">
        <v>534</v>
      </c>
    </row>
    <row r="53" spans="1:20" ht="15.6" x14ac:dyDescent="0.3">
      <c r="A53" s="9" t="s">
        <v>808</v>
      </c>
      <c r="B53" s="9" t="s">
        <v>809</v>
      </c>
      <c r="C53" s="9" t="s">
        <v>683</v>
      </c>
      <c r="D53" s="10">
        <v>45911</v>
      </c>
      <c r="E53" s="9" t="s">
        <v>684</v>
      </c>
      <c r="F53" s="9" t="s">
        <v>631</v>
      </c>
      <c r="G53" s="9" t="s">
        <v>631</v>
      </c>
      <c r="H53" s="9" t="s">
        <v>685</v>
      </c>
      <c r="I53" s="9" t="s">
        <v>5</v>
      </c>
      <c r="J53" s="9">
        <v>2</v>
      </c>
      <c r="K53" s="9">
        <v>2</v>
      </c>
      <c r="L53" s="9" t="s">
        <v>530</v>
      </c>
      <c r="M53" s="9" t="s">
        <v>29</v>
      </c>
      <c r="N53" s="9" t="s">
        <v>810</v>
      </c>
      <c r="O53" s="9" t="s">
        <v>811</v>
      </c>
      <c r="P53" s="9"/>
      <c r="Q53" s="9"/>
      <c r="R53" s="9"/>
      <c r="S53" s="9" t="s">
        <v>32</v>
      </c>
      <c r="T53" s="9" t="s">
        <v>534</v>
      </c>
    </row>
    <row r="54" spans="1:20" ht="15.6" x14ac:dyDescent="0.3">
      <c r="A54" s="9" t="s">
        <v>808</v>
      </c>
      <c r="B54" s="9" t="s">
        <v>812</v>
      </c>
      <c r="C54" s="9" t="s">
        <v>683</v>
      </c>
      <c r="D54" s="10">
        <v>45911</v>
      </c>
      <c r="E54" s="9" t="s">
        <v>684</v>
      </c>
      <c r="F54" s="9" t="s">
        <v>542</v>
      </c>
      <c r="G54" s="9" t="s">
        <v>542</v>
      </c>
      <c r="H54" s="9" t="s">
        <v>677</v>
      </c>
      <c r="I54" s="9" t="s">
        <v>5</v>
      </c>
      <c r="J54" s="9">
        <v>1</v>
      </c>
      <c r="K54" s="9">
        <v>1</v>
      </c>
      <c r="L54" s="9" t="s">
        <v>530</v>
      </c>
      <c r="M54" s="9" t="s">
        <v>29</v>
      </c>
      <c r="N54" s="9" t="s">
        <v>810</v>
      </c>
      <c r="O54" s="9" t="s">
        <v>811</v>
      </c>
      <c r="P54" s="9"/>
      <c r="Q54" s="9"/>
      <c r="R54" s="9"/>
      <c r="S54" s="9" t="s">
        <v>32</v>
      </c>
      <c r="T54" s="9" t="s">
        <v>534</v>
      </c>
    </row>
    <row r="55" spans="1:20" ht="15.6" x14ac:dyDescent="0.3">
      <c r="A55" s="9" t="s">
        <v>813</v>
      </c>
      <c r="B55" s="9" t="s">
        <v>814</v>
      </c>
      <c r="C55" s="9" t="s">
        <v>683</v>
      </c>
      <c r="D55" s="10">
        <v>45911</v>
      </c>
      <c r="E55" s="9" t="s">
        <v>684</v>
      </c>
      <c r="F55" s="9" t="s">
        <v>636</v>
      </c>
      <c r="G55" s="9" t="s">
        <v>636</v>
      </c>
      <c r="H55" s="9" t="s">
        <v>722</v>
      </c>
      <c r="I55" s="9" t="s">
        <v>5</v>
      </c>
      <c r="J55" s="9">
        <v>1</v>
      </c>
      <c r="K55" s="9">
        <v>1</v>
      </c>
      <c r="L55" s="9" t="s">
        <v>530</v>
      </c>
      <c r="M55" s="9" t="s">
        <v>29</v>
      </c>
      <c r="N55" s="9" t="s">
        <v>698</v>
      </c>
      <c r="O55" s="9" t="s">
        <v>590</v>
      </c>
      <c r="P55" s="9"/>
      <c r="Q55" s="9"/>
      <c r="R55" s="9"/>
      <c r="S55" s="9" t="s">
        <v>32</v>
      </c>
      <c r="T55" s="9" t="s">
        <v>534</v>
      </c>
    </row>
    <row r="56" spans="1:20" ht="15.6" x14ac:dyDescent="0.3">
      <c r="A56" s="9" t="s">
        <v>813</v>
      </c>
      <c r="B56" s="9" t="s">
        <v>815</v>
      </c>
      <c r="C56" s="9" t="s">
        <v>683</v>
      </c>
      <c r="D56" s="10">
        <v>45911</v>
      </c>
      <c r="E56" s="9" t="s">
        <v>684</v>
      </c>
      <c r="F56" s="9" t="s">
        <v>631</v>
      </c>
      <c r="G56" s="9" t="s">
        <v>631</v>
      </c>
      <c r="H56" s="9" t="s">
        <v>685</v>
      </c>
      <c r="I56" s="9" t="s">
        <v>5</v>
      </c>
      <c r="J56" s="9">
        <v>3</v>
      </c>
      <c r="K56" s="9">
        <v>3</v>
      </c>
      <c r="L56" s="9" t="s">
        <v>530</v>
      </c>
      <c r="M56" s="9" t="s">
        <v>29</v>
      </c>
      <c r="N56" s="9" t="s">
        <v>698</v>
      </c>
      <c r="O56" s="9" t="s">
        <v>590</v>
      </c>
      <c r="P56" s="9"/>
      <c r="Q56" s="9"/>
      <c r="R56" s="9"/>
      <c r="S56" s="9" t="s">
        <v>32</v>
      </c>
      <c r="T56" s="9" t="s">
        <v>534</v>
      </c>
    </row>
    <row r="57" spans="1:20" ht="15.6" x14ac:dyDescent="0.3">
      <c r="A57" s="9" t="s">
        <v>816</v>
      </c>
      <c r="B57" s="9" t="s">
        <v>817</v>
      </c>
      <c r="C57" s="9" t="s">
        <v>683</v>
      </c>
      <c r="D57" s="10">
        <v>45911</v>
      </c>
      <c r="E57" s="9" t="s">
        <v>684</v>
      </c>
      <c r="F57" s="9" t="s">
        <v>580</v>
      </c>
      <c r="G57" s="9" t="s">
        <v>702</v>
      </c>
      <c r="H57" s="9" t="s">
        <v>703</v>
      </c>
      <c r="I57" s="9" t="s">
        <v>609</v>
      </c>
      <c r="J57" s="9">
        <v>5</v>
      </c>
      <c r="K57" s="9">
        <v>5</v>
      </c>
      <c r="L57" s="9" t="s">
        <v>530</v>
      </c>
      <c r="M57" s="9" t="s">
        <v>29</v>
      </c>
      <c r="N57" s="9" t="s">
        <v>653</v>
      </c>
      <c r="O57" s="9" t="s">
        <v>818</v>
      </c>
      <c r="P57" s="9"/>
      <c r="Q57" s="9"/>
      <c r="R57" s="9"/>
      <c r="S57" s="9" t="s">
        <v>32</v>
      </c>
      <c r="T57" s="9" t="s">
        <v>534</v>
      </c>
    </row>
    <row r="58" spans="1:20" ht="15.6" x14ac:dyDescent="0.3">
      <c r="A58" s="9" t="s">
        <v>819</v>
      </c>
      <c r="B58" s="9" t="s">
        <v>820</v>
      </c>
      <c r="C58" s="9" t="s">
        <v>683</v>
      </c>
      <c r="D58" s="10">
        <v>45911</v>
      </c>
      <c r="E58" s="9" t="s">
        <v>684</v>
      </c>
      <c r="F58" s="9" t="s">
        <v>636</v>
      </c>
      <c r="G58" s="9" t="s">
        <v>636</v>
      </c>
      <c r="H58" s="9" t="s">
        <v>722</v>
      </c>
      <c r="I58" s="9" t="s">
        <v>5</v>
      </c>
      <c r="J58" s="9">
        <v>1</v>
      </c>
      <c r="K58" s="9">
        <v>1</v>
      </c>
      <c r="L58" s="9" t="s">
        <v>530</v>
      </c>
      <c r="M58" s="9" t="s">
        <v>29</v>
      </c>
      <c r="N58" s="9" t="s">
        <v>821</v>
      </c>
      <c r="O58" s="9" t="s">
        <v>822</v>
      </c>
      <c r="P58" s="9"/>
      <c r="Q58" s="9"/>
      <c r="R58" s="9"/>
      <c r="S58" s="9" t="s">
        <v>32</v>
      </c>
      <c r="T58" s="9" t="s">
        <v>534</v>
      </c>
    </row>
    <row r="59" spans="1:20" ht="15.6" x14ac:dyDescent="0.3">
      <c r="A59" s="9" t="s">
        <v>819</v>
      </c>
      <c r="B59" s="9" t="s">
        <v>823</v>
      </c>
      <c r="C59" s="9" t="s">
        <v>683</v>
      </c>
      <c r="D59" s="10">
        <v>45911</v>
      </c>
      <c r="E59" s="9" t="s">
        <v>684</v>
      </c>
      <c r="F59" s="9" t="s">
        <v>542</v>
      </c>
      <c r="G59" s="9" t="s">
        <v>542</v>
      </c>
      <c r="H59" s="9" t="s">
        <v>677</v>
      </c>
      <c r="I59" s="9" t="s">
        <v>5</v>
      </c>
      <c r="J59" s="9">
        <v>1</v>
      </c>
      <c r="K59" s="9">
        <v>1</v>
      </c>
      <c r="L59" s="9" t="s">
        <v>530</v>
      </c>
      <c r="M59" s="9" t="s">
        <v>29</v>
      </c>
      <c r="N59" s="9" t="s">
        <v>821</v>
      </c>
      <c r="O59" s="9" t="s">
        <v>822</v>
      </c>
      <c r="P59" s="9"/>
      <c r="Q59" s="9"/>
      <c r="R59" s="9"/>
      <c r="S59" s="9" t="s">
        <v>32</v>
      </c>
      <c r="T59" s="9" t="s">
        <v>534</v>
      </c>
    </row>
    <row r="60" spans="1:20" ht="15.6" x14ac:dyDescent="0.3">
      <c r="A60" s="9" t="s">
        <v>771</v>
      </c>
      <c r="B60" s="9" t="s">
        <v>772</v>
      </c>
      <c r="C60" s="9" t="s">
        <v>683</v>
      </c>
      <c r="D60" s="10">
        <v>45910</v>
      </c>
      <c r="E60" s="9" t="s">
        <v>684</v>
      </c>
      <c r="F60" s="9" t="s">
        <v>695</v>
      </c>
      <c r="G60" s="9" t="s">
        <v>773</v>
      </c>
      <c r="H60" s="9" t="s">
        <v>774</v>
      </c>
      <c r="I60" s="9" t="s">
        <v>27</v>
      </c>
      <c r="J60" s="9">
        <v>1</v>
      </c>
      <c r="K60" s="9">
        <v>1</v>
      </c>
      <c r="L60" s="9" t="s">
        <v>530</v>
      </c>
      <c r="M60" s="9" t="s">
        <v>29</v>
      </c>
      <c r="N60" s="9" t="s">
        <v>775</v>
      </c>
      <c r="O60" s="9" t="s">
        <v>776</v>
      </c>
      <c r="P60" s="9"/>
      <c r="Q60" s="9"/>
      <c r="R60" s="9"/>
      <c r="S60" s="9" t="s">
        <v>32</v>
      </c>
      <c r="T60" s="9" t="s">
        <v>534</v>
      </c>
    </row>
    <row r="61" spans="1:20" ht="15.6" x14ac:dyDescent="0.3">
      <c r="A61" s="9" t="s">
        <v>704</v>
      </c>
      <c r="B61" s="9" t="s">
        <v>705</v>
      </c>
      <c r="C61" s="9" t="s">
        <v>683</v>
      </c>
      <c r="D61" s="10">
        <v>45910</v>
      </c>
      <c r="E61" s="9" t="s">
        <v>684</v>
      </c>
      <c r="F61" s="9" t="s">
        <v>542</v>
      </c>
      <c r="G61" s="9" t="s">
        <v>542</v>
      </c>
      <c r="H61" s="9" t="s">
        <v>677</v>
      </c>
      <c r="I61" s="9" t="s">
        <v>5</v>
      </c>
      <c r="J61" s="9">
        <v>2</v>
      </c>
      <c r="K61" s="9">
        <v>2</v>
      </c>
      <c r="L61" s="9" t="s">
        <v>530</v>
      </c>
      <c r="M61" s="9" t="s">
        <v>29</v>
      </c>
      <c r="N61" s="9" t="s">
        <v>589</v>
      </c>
      <c r="O61" s="9" t="s">
        <v>590</v>
      </c>
      <c r="P61" s="9"/>
      <c r="Q61" s="9"/>
      <c r="R61" s="9"/>
      <c r="S61" s="9" t="s">
        <v>32</v>
      </c>
      <c r="T61" s="9" t="s">
        <v>534</v>
      </c>
    </row>
    <row r="62" spans="1:20" ht="15.6" x14ac:dyDescent="0.3">
      <c r="A62" s="9" t="s">
        <v>704</v>
      </c>
      <c r="B62" s="9" t="s">
        <v>706</v>
      </c>
      <c r="C62" s="9" t="s">
        <v>683</v>
      </c>
      <c r="D62" s="10">
        <v>45910</v>
      </c>
      <c r="E62" s="9" t="s">
        <v>684</v>
      </c>
      <c r="F62" s="9" t="s">
        <v>580</v>
      </c>
      <c r="G62" s="9" t="s">
        <v>702</v>
      </c>
      <c r="H62" s="9" t="s">
        <v>703</v>
      </c>
      <c r="I62" s="9" t="s">
        <v>609</v>
      </c>
      <c r="J62" s="9">
        <v>2</v>
      </c>
      <c r="K62" s="9">
        <v>2</v>
      </c>
      <c r="L62" s="9" t="s">
        <v>530</v>
      </c>
      <c r="M62" s="9" t="s">
        <v>29</v>
      </c>
      <c r="N62" s="9" t="s">
        <v>589</v>
      </c>
      <c r="O62" s="9" t="s">
        <v>590</v>
      </c>
      <c r="P62" s="9"/>
      <c r="Q62" s="9"/>
      <c r="R62" s="9"/>
      <c r="S62" s="9" t="s">
        <v>32</v>
      </c>
      <c r="T62" s="9" t="s">
        <v>534</v>
      </c>
    </row>
    <row r="63" spans="1:20" ht="15.6" x14ac:dyDescent="0.3">
      <c r="A63" s="9" t="s">
        <v>704</v>
      </c>
      <c r="B63" s="9" t="s">
        <v>707</v>
      </c>
      <c r="C63" s="9" t="s">
        <v>683</v>
      </c>
      <c r="D63" s="10">
        <v>45910</v>
      </c>
      <c r="E63" s="9" t="s">
        <v>684</v>
      </c>
      <c r="F63" s="9" t="s">
        <v>631</v>
      </c>
      <c r="G63" s="9" t="s">
        <v>631</v>
      </c>
      <c r="H63" s="9" t="s">
        <v>685</v>
      </c>
      <c r="I63" s="9" t="s">
        <v>5</v>
      </c>
      <c r="J63" s="9">
        <v>1</v>
      </c>
      <c r="K63" s="9">
        <v>1</v>
      </c>
      <c r="L63" s="9" t="s">
        <v>530</v>
      </c>
      <c r="M63" s="9" t="s">
        <v>29</v>
      </c>
      <c r="N63" s="9" t="s">
        <v>589</v>
      </c>
      <c r="O63" s="9" t="s">
        <v>590</v>
      </c>
      <c r="P63" s="9"/>
      <c r="Q63" s="9"/>
      <c r="R63" s="9"/>
      <c r="S63" s="9" t="s">
        <v>32</v>
      </c>
      <c r="T63" s="9" t="s">
        <v>534</v>
      </c>
    </row>
    <row r="64" spans="1:20" ht="15.6" x14ac:dyDescent="0.3">
      <c r="A64" s="9" t="s">
        <v>708</v>
      </c>
      <c r="B64" s="9" t="s">
        <v>709</v>
      </c>
      <c r="C64" s="9" t="s">
        <v>683</v>
      </c>
      <c r="D64" s="10">
        <v>45910</v>
      </c>
      <c r="E64" s="9" t="s">
        <v>684</v>
      </c>
      <c r="F64" s="9" t="s">
        <v>542</v>
      </c>
      <c r="G64" s="9" t="s">
        <v>542</v>
      </c>
      <c r="H64" s="9" t="s">
        <v>677</v>
      </c>
      <c r="I64" s="9" t="s">
        <v>5</v>
      </c>
      <c r="J64" s="9">
        <v>3</v>
      </c>
      <c r="K64" s="9">
        <v>3</v>
      </c>
      <c r="L64" s="9" t="s">
        <v>530</v>
      </c>
      <c r="M64" s="9" t="s">
        <v>29</v>
      </c>
      <c r="N64" s="9" t="s">
        <v>710</v>
      </c>
      <c r="O64" s="9" t="s">
        <v>711</v>
      </c>
      <c r="P64" s="9"/>
      <c r="Q64" s="9"/>
      <c r="R64" s="9"/>
      <c r="S64" s="9" t="s">
        <v>32</v>
      </c>
      <c r="T64" s="9" t="s">
        <v>534</v>
      </c>
    </row>
    <row r="65" spans="1:20" ht="15.6" x14ac:dyDescent="0.3">
      <c r="A65" s="9" t="s">
        <v>708</v>
      </c>
      <c r="B65" s="9" t="s">
        <v>712</v>
      </c>
      <c r="C65" s="9" t="s">
        <v>683</v>
      </c>
      <c r="D65" s="10">
        <v>45910</v>
      </c>
      <c r="E65" s="9" t="s">
        <v>684</v>
      </c>
      <c r="F65" s="9" t="s">
        <v>542</v>
      </c>
      <c r="G65" s="9" t="s">
        <v>542</v>
      </c>
      <c r="H65" s="9" t="s">
        <v>677</v>
      </c>
      <c r="I65" s="9" t="s">
        <v>5</v>
      </c>
      <c r="J65" s="9">
        <v>1</v>
      </c>
      <c r="K65" s="9">
        <v>1</v>
      </c>
      <c r="L65" s="9" t="s">
        <v>530</v>
      </c>
      <c r="M65" s="9" t="s">
        <v>29</v>
      </c>
      <c r="N65" s="9" t="s">
        <v>710</v>
      </c>
      <c r="O65" s="9" t="s">
        <v>711</v>
      </c>
      <c r="P65" s="9"/>
      <c r="Q65" s="9"/>
      <c r="R65" s="9"/>
      <c r="S65" s="9" t="s">
        <v>32</v>
      </c>
      <c r="T65" s="9" t="s">
        <v>534</v>
      </c>
    </row>
    <row r="66" spans="1:20" ht="15.6" x14ac:dyDescent="0.3">
      <c r="A66" s="9" t="s">
        <v>708</v>
      </c>
      <c r="B66" s="9" t="s">
        <v>713</v>
      </c>
      <c r="C66" s="9" t="s">
        <v>683</v>
      </c>
      <c r="D66" s="10">
        <v>45910</v>
      </c>
      <c r="E66" s="9" t="s">
        <v>684</v>
      </c>
      <c r="F66" s="9" t="s">
        <v>580</v>
      </c>
      <c r="G66" s="9" t="s">
        <v>702</v>
      </c>
      <c r="H66" s="9" t="s">
        <v>703</v>
      </c>
      <c r="I66" s="9" t="s">
        <v>609</v>
      </c>
      <c r="J66" s="9">
        <v>2</v>
      </c>
      <c r="K66" s="9">
        <v>2</v>
      </c>
      <c r="L66" s="9" t="s">
        <v>530</v>
      </c>
      <c r="M66" s="9" t="s">
        <v>29</v>
      </c>
      <c r="N66" s="9" t="s">
        <v>710</v>
      </c>
      <c r="O66" s="9" t="s">
        <v>711</v>
      </c>
      <c r="P66" s="9"/>
      <c r="Q66" s="9"/>
      <c r="R66" s="9"/>
      <c r="S66" s="9" t="s">
        <v>32</v>
      </c>
      <c r="T66" s="9" t="s">
        <v>534</v>
      </c>
    </row>
    <row r="67" spans="1:20" ht="15.6" x14ac:dyDescent="0.3">
      <c r="A67" s="35" t="s">
        <v>708</v>
      </c>
      <c r="B67" s="35" t="s">
        <v>714</v>
      </c>
      <c r="C67" s="35" t="s">
        <v>683</v>
      </c>
      <c r="D67" s="36">
        <v>45910</v>
      </c>
      <c r="E67" s="35" t="s">
        <v>684</v>
      </c>
      <c r="F67" s="35" t="s">
        <v>631</v>
      </c>
      <c r="G67" s="35" t="s">
        <v>632</v>
      </c>
      <c r="H67" s="35" t="s">
        <v>633</v>
      </c>
      <c r="I67" s="35" t="s">
        <v>609</v>
      </c>
      <c r="J67" s="35">
        <v>1</v>
      </c>
      <c r="K67" s="35">
        <v>1</v>
      </c>
      <c r="L67" s="35" t="s">
        <v>530</v>
      </c>
      <c r="M67" s="35" t="s">
        <v>29</v>
      </c>
      <c r="N67" s="35" t="s">
        <v>710</v>
      </c>
      <c r="O67" s="35" t="s">
        <v>711</v>
      </c>
      <c r="P67" s="35"/>
      <c r="Q67" s="35"/>
      <c r="R67" s="35"/>
      <c r="S67" s="35" t="s">
        <v>32</v>
      </c>
      <c r="T67" s="35" t="s">
        <v>534</v>
      </c>
    </row>
    <row r="68" spans="1:20" ht="15.6" x14ac:dyDescent="0.3">
      <c r="A68" s="9" t="s">
        <v>715</v>
      </c>
      <c r="B68" s="9" t="s">
        <v>716</v>
      </c>
      <c r="C68" s="9" t="s">
        <v>683</v>
      </c>
      <c r="D68" s="10">
        <v>45910</v>
      </c>
      <c r="E68" s="9" t="s">
        <v>684</v>
      </c>
      <c r="F68" s="9" t="s">
        <v>580</v>
      </c>
      <c r="G68" s="9" t="s">
        <v>702</v>
      </c>
      <c r="H68" s="9" t="s">
        <v>703</v>
      </c>
      <c r="I68" s="9" t="s">
        <v>609</v>
      </c>
      <c r="J68" s="9">
        <v>2</v>
      </c>
      <c r="K68" s="9">
        <v>2</v>
      </c>
      <c r="L68" s="9" t="s">
        <v>530</v>
      </c>
      <c r="M68" s="9" t="s">
        <v>29</v>
      </c>
      <c r="N68" s="9" t="s">
        <v>717</v>
      </c>
      <c r="O68" s="9" t="s">
        <v>718</v>
      </c>
      <c r="P68" s="9"/>
      <c r="Q68" s="9"/>
      <c r="R68" s="9"/>
      <c r="S68" s="9" t="s">
        <v>32</v>
      </c>
      <c r="T68" s="9" t="s">
        <v>534</v>
      </c>
    </row>
    <row r="69" spans="1:20" ht="15.6" x14ac:dyDescent="0.3">
      <c r="A69" s="9" t="s">
        <v>715</v>
      </c>
      <c r="B69" s="9" t="s">
        <v>719</v>
      </c>
      <c r="C69" s="9" t="s">
        <v>683</v>
      </c>
      <c r="D69" s="10">
        <v>45910</v>
      </c>
      <c r="E69" s="9" t="s">
        <v>684</v>
      </c>
      <c r="F69" s="9" t="s">
        <v>542</v>
      </c>
      <c r="G69" s="9" t="s">
        <v>542</v>
      </c>
      <c r="H69" s="9" t="s">
        <v>677</v>
      </c>
      <c r="I69" s="9" t="s">
        <v>5</v>
      </c>
      <c r="J69" s="9">
        <v>1</v>
      </c>
      <c r="K69" s="9">
        <v>1</v>
      </c>
      <c r="L69" s="9" t="s">
        <v>530</v>
      </c>
      <c r="M69" s="9" t="s">
        <v>29</v>
      </c>
      <c r="N69" s="9" t="s">
        <v>717</v>
      </c>
      <c r="O69" s="9" t="s">
        <v>718</v>
      </c>
      <c r="P69" s="9"/>
      <c r="Q69" s="9"/>
      <c r="R69" s="9"/>
      <c r="S69" s="9" t="s">
        <v>32</v>
      </c>
      <c r="T69" s="9" t="s">
        <v>534</v>
      </c>
    </row>
    <row r="70" spans="1:20" ht="15.6" x14ac:dyDescent="0.3">
      <c r="A70" s="9" t="s">
        <v>715</v>
      </c>
      <c r="B70" s="9" t="s">
        <v>720</v>
      </c>
      <c r="C70" s="9" t="s">
        <v>683</v>
      </c>
      <c r="D70" s="10">
        <v>45910</v>
      </c>
      <c r="E70" s="9" t="s">
        <v>684</v>
      </c>
      <c r="F70" s="9" t="s">
        <v>631</v>
      </c>
      <c r="G70" s="9" t="s">
        <v>631</v>
      </c>
      <c r="H70" s="9" t="s">
        <v>685</v>
      </c>
      <c r="I70" s="9" t="s">
        <v>5</v>
      </c>
      <c r="J70" s="9">
        <v>2</v>
      </c>
      <c r="K70" s="9">
        <v>2</v>
      </c>
      <c r="L70" s="9" t="s">
        <v>530</v>
      </c>
      <c r="M70" s="9" t="s">
        <v>29</v>
      </c>
      <c r="N70" s="9" t="s">
        <v>717</v>
      </c>
      <c r="O70" s="9" t="s">
        <v>718</v>
      </c>
      <c r="P70" s="9"/>
      <c r="Q70" s="9"/>
      <c r="R70" s="9"/>
      <c r="S70" s="9" t="s">
        <v>32</v>
      </c>
      <c r="T70" s="9" t="s">
        <v>534</v>
      </c>
    </row>
    <row r="71" spans="1:20" ht="15.6" x14ac:dyDescent="0.3">
      <c r="A71" s="9" t="s">
        <v>715</v>
      </c>
      <c r="B71" s="9" t="s">
        <v>721</v>
      </c>
      <c r="C71" s="9" t="s">
        <v>683</v>
      </c>
      <c r="D71" s="10">
        <v>45910</v>
      </c>
      <c r="E71" s="9" t="s">
        <v>684</v>
      </c>
      <c r="F71" s="9" t="s">
        <v>636</v>
      </c>
      <c r="G71" s="9" t="s">
        <v>636</v>
      </c>
      <c r="H71" s="9" t="s">
        <v>722</v>
      </c>
      <c r="I71" s="9" t="s">
        <v>5</v>
      </c>
      <c r="J71" s="9">
        <v>1</v>
      </c>
      <c r="K71" s="9">
        <v>1</v>
      </c>
      <c r="L71" s="9" t="s">
        <v>530</v>
      </c>
      <c r="M71" s="9" t="s">
        <v>29</v>
      </c>
      <c r="N71" s="9" t="s">
        <v>717</v>
      </c>
      <c r="O71" s="9" t="s">
        <v>718</v>
      </c>
      <c r="P71" s="9"/>
      <c r="Q71" s="9"/>
      <c r="R71" s="9"/>
      <c r="S71" s="9" t="s">
        <v>32</v>
      </c>
      <c r="T71" s="9" t="s">
        <v>534</v>
      </c>
    </row>
    <row r="72" spans="1:20" ht="15.6" x14ac:dyDescent="0.3">
      <c r="A72" s="9" t="s">
        <v>723</v>
      </c>
      <c r="B72" s="9" t="s">
        <v>724</v>
      </c>
      <c r="C72" s="9" t="s">
        <v>683</v>
      </c>
      <c r="D72" s="10">
        <v>45910</v>
      </c>
      <c r="E72" s="9" t="s">
        <v>684</v>
      </c>
      <c r="F72" s="9" t="s">
        <v>636</v>
      </c>
      <c r="G72" s="9" t="s">
        <v>636</v>
      </c>
      <c r="H72" s="9" t="s">
        <v>722</v>
      </c>
      <c r="I72" s="9" t="s">
        <v>5</v>
      </c>
      <c r="J72" s="9">
        <v>1</v>
      </c>
      <c r="K72" s="9">
        <v>1</v>
      </c>
      <c r="L72" s="9" t="s">
        <v>530</v>
      </c>
      <c r="M72" s="9" t="s">
        <v>29</v>
      </c>
      <c r="N72" s="9" t="s">
        <v>725</v>
      </c>
      <c r="O72" s="9" t="s">
        <v>726</v>
      </c>
      <c r="P72" s="9"/>
      <c r="Q72" s="9"/>
      <c r="R72" s="9"/>
      <c r="S72" s="9" t="s">
        <v>32</v>
      </c>
      <c r="T72" s="9" t="s">
        <v>534</v>
      </c>
    </row>
    <row r="73" spans="1:20" ht="15.6" x14ac:dyDescent="0.3">
      <c r="A73" s="9" t="s">
        <v>723</v>
      </c>
      <c r="B73" s="9" t="s">
        <v>727</v>
      </c>
      <c r="C73" s="9" t="s">
        <v>683</v>
      </c>
      <c r="D73" s="10">
        <v>45910</v>
      </c>
      <c r="E73" s="9" t="s">
        <v>684</v>
      </c>
      <c r="F73" s="9" t="s">
        <v>631</v>
      </c>
      <c r="G73" s="9" t="s">
        <v>631</v>
      </c>
      <c r="H73" s="9" t="s">
        <v>685</v>
      </c>
      <c r="I73" s="9" t="s">
        <v>5</v>
      </c>
      <c r="J73" s="9">
        <v>1</v>
      </c>
      <c r="K73" s="9">
        <v>1</v>
      </c>
      <c r="L73" s="9" t="s">
        <v>530</v>
      </c>
      <c r="M73" s="9" t="s">
        <v>29</v>
      </c>
      <c r="N73" s="9" t="s">
        <v>725</v>
      </c>
      <c r="O73" s="9" t="s">
        <v>726</v>
      </c>
      <c r="P73" s="9"/>
      <c r="Q73" s="9"/>
      <c r="R73" s="9"/>
      <c r="S73" s="9" t="s">
        <v>32</v>
      </c>
      <c r="T73" s="9" t="s">
        <v>534</v>
      </c>
    </row>
    <row r="74" spans="1:20" ht="15.6" x14ac:dyDescent="0.3">
      <c r="A74" s="9" t="s">
        <v>723</v>
      </c>
      <c r="B74" s="9" t="s">
        <v>728</v>
      </c>
      <c r="C74" s="9" t="s">
        <v>683</v>
      </c>
      <c r="D74" s="10">
        <v>45910</v>
      </c>
      <c r="E74" s="9" t="s">
        <v>684</v>
      </c>
      <c r="F74" s="9" t="s">
        <v>542</v>
      </c>
      <c r="G74" s="9" t="s">
        <v>542</v>
      </c>
      <c r="H74" s="9" t="s">
        <v>677</v>
      </c>
      <c r="I74" s="9" t="s">
        <v>5</v>
      </c>
      <c r="J74" s="9">
        <v>2</v>
      </c>
      <c r="K74" s="9">
        <v>2</v>
      </c>
      <c r="L74" s="9" t="s">
        <v>530</v>
      </c>
      <c r="M74" s="9" t="s">
        <v>29</v>
      </c>
      <c r="N74" s="9" t="s">
        <v>725</v>
      </c>
      <c r="O74" s="9" t="s">
        <v>726</v>
      </c>
      <c r="P74" s="9"/>
      <c r="Q74" s="9"/>
      <c r="R74" s="9"/>
      <c r="S74" s="9" t="s">
        <v>32</v>
      </c>
      <c r="T74" s="9" t="s">
        <v>534</v>
      </c>
    </row>
    <row r="75" spans="1:20" ht="15.6" x14ac:dyDescent="0.3">
      <c r="A75" s="9" t="s">
        <v>729</v>
      </c>
      <c r="B75" s="9" t="s">
        <v>730</v>
      </c>
      <c r="C75" s="9" t="s">
        <v>683</v>
      </c>
      <c r="D75" s="10">
        <v>45910</v>
      </c>
      <c r="E75" s="9" t="s">
        <v>684</v>
      </c>
      <c r="F75" s="9" t="s">
        <v>542</v>
      </c>
      <c r="G75" s="9" t="s">
        <v>542</v>
      </c>
      <c r="H75" s="9" t="s">
        <v>677</v>
      </c>
      <c r="I75" s="9" t="s">
        <v>5</v>
      </c>
      <c r="J75" s="9">
        <v>4</v>
      </c>
      <c r="K75" s="9">
        <v>4</v>
      </c>
      <c r="L75" s="9" t="s">
        <v>530</v>
      </c>
      <c r="M75" s="9" t="s">
        <v>29</v>
      </c>
      <c r="N75" s="9" t="s">
        <v>564</v>
      </c>
      <c r="O75" s="9" t="s">
        <v>565</v>
      </c>
      <c r="P75" s="9"/>
      <c r="Q75" s="9"/>
      <c r="R75" s="9"/>
      <c r="S75" s="9" t="s">
        <v>32</v>
      </c>
      <c r="T75" s="9" t="s">
        <v>534</v>
      </c>
    </row>
    <row r="76" spans="1:20" ht="15.6" x14ac:dyDescent="0.3">
      <c r="A76" s="9" t="s">
        <v>729</v>
      </c>
      <c r="B76" s="9" t="s">
        <v>731</v>
      </c>
      <c r="C76" s="9" t="s">
        <v>683</v>
      </c>
      <c r="D76" s="10">
        <v>45910</v>
      </c>
      <c r="E76" s="9" t="s">
        <v>684</v>
      </c>
      <c r="F76" s="9" t="s">
        <v>542</v>
      </c>
      <c r="G76" s="9" t="s">
        <v>542</v>
      </c>
      <c r="H76" s="9" t="s">
        <v>677</v>
      </c>
      <c r="I76" s="9" t="s">
        <v>5</v>
      </c>
      <c r="J76" s="9">
        <v>1</v>
      </c>
      <c r="K76" s="9">
        <v>1</v>
      </c>
      <c r="L76" s="9" t="s">
        <v>530</v>
      </c>
      <c r="M76" s="9" t="s">
        <v>29</v>
      </c>
      <c r="N76" s="9" t="s">
        <v>564</v>
      </c>
      <c r="O76" s="9" t="s">
        <v>565</v>
      </c>
      <c r="P76" s="9"/>
      <c r="Q76" s="9"/>
      <c r="R76" s="9"/>
      <c r="S76" s="9" t="s">
        <v>32</v>
      </c>
      <c r="T76" s="9" t="s">
        <v>534</v>
      </c>
    </row>
    <row r="77" spans="1:20" ht="15.6" x14ac:dyDescent="0.3">
      <c r="A77" s="9" t="s">
        <v>729</v>
      </c>
      <c r="B77" s="9" t="s">
        <v>732</v>
      </c>
      <c r="C77" s="9" t="s">
        <v>683</v>
      </c>
      <c r="D77" s="10">
        <v>45910</v>
      </c>
      <c r="E77" s="9" t="s">
        <v>684</v>
      </c>
      <c r="F77" s="9" t="s">
        <v>688</v>
      </c>
      <c r="G77" s="9" t="s">
        <v>688</v>
      </c>
      <c r="H77" s="9" t="s">
        <v>689</v>
      </c>
      <c r="I77" s="9" t="s">
        <v>5</v>
      </c>
      <c r="J77" s="9">
        <v>3</v>
      </c>
      <c r="K77" s="9">
        <v>3</v>
      </c>
      <c r="L77" s="9" t="s">
        <v>530</v>
      </c>
      <c r="M77" s="9" t="s">
        <v>29</v>
      </c>
      <c r="N77" s="9" t="s">
        <v>564</v>
      </c>
      <c r="O77" s="9" t="s">
        <v>565</v>
      </c>
      <c r="P77" s="9"/>
      <c r="Q77" s="9"/>
      <c r="R77" s="9"/>
      <c r="S77" s="9" t="s">
        <v>32</v>
      </c>
      <c r="T77" s="9" t="s">
        <v>534</v>
      </c>
    </row>
    <row r="78" spans="1:20" ht="15.6" x14ac:dyDescent="0.3">
      <c r="A78" s="9" t="s">
        <v>729</v>
      </c>
      <c r="B78" s="9" t="s">
        <v>733</v>
      </c>
      <c r="C78" s="9" t="s">
        <v>683</v>
      </c>
      <c r="D78" s="10">
        <v>45910</v>
      </c>
      <c r="E78" s="9" t="s">
        <v>684</v>
      </c>
      <c r="F78" s="9" t="s">
        <v>631</v>
      </c>
      <c r="G78" s="9" t="s">
        <v>631</v>
      </c>
      <c r="H78" s="9" t="s">
        <v>685</v>
      </c>
      <c r="I78" s="9" t="s">
        <v>5</v>
      </c>
      <c r="J78" s="9">
        <v>1</v>
      </c>
      <c r="K78" s="9">
        <v>1</v>
      </c>
      <c r="L78" s="9" t="s">
        <v>530</v>
      </c>
      <c r="M78" s="9" t="s">
        <v>29</v>
      </c>
      <c r="N78" s="9" t="s">
        <v>564</v>
      </c>
      <c r="O78" s="9" t="s">
        <v>565</v>
      </c>
      <c r="P78" s="9"/>
      <c r="Q78" s="9"/>
      <c r="R78" s="9"/>
      <c r="S78" s="9" t="s">
        <v>32</v>
      </c>
      <c r="T78" s="9" t="s">
        <v>534</v>
      </c>
    </row>
    <row r="79" spans="1:20" ht="15.6" x14ac:dyDescent="0.3">
      <c r="A79" s="9" t="s">
        <v>729</v>
      </c>
      <c r="B79" s="9" t="s">
        <v>734</v>
      </c>
      <c r="C79" s="9" t="s">
        <v>683</v>
      </c>
      <c r="D79" s="10">
        <v>45910</v>
      </c>
      <c r="E79" s="9" t="s">
        <v>684</v>
      </c>
      <c r="F79" s="9" t="s">
        <v>631</v>
      </c>
      <c r="G79" s="9" t="s">
        <v>631</v>
      </c>
      <c r="H79" s="9" t="s">
        <v>685</v>
      </c>
      <c r="I79" s="9" t="s">
        <v>5</v>
      </c>
      <c r="J79" s="9">
        <v>1</v>
      </c>
      <c r="K79" s="9">
        <v>1</v>
      </c>
      <c r="L79" s="9" t="s">
        <v>530</v>
      </c>
      <c r="M79" s="9" t="s">
        <v>29</v>
      </c>
      <c r="N79" s="9" t="s">
        <v>564</v>
      </c>
      <c r="O79" s="9" t="s">
        <v>565</v>
      </c>
      <c r="P79" s="9"/>
      <c r="Q79" s="9"/>
      <c r="R79" s="9"/>
      <c r="S79" s="9" t="s">
        <v>32</v>
      </c>
      <c r="T79" s="9" t="s">
        <v>534</v>
      </c>
    </row>
    <row r="80" spans="1:20" ht="15.6" x14ac:dyDescent="0.3">
      <c r="A80" s="9" t="s">
        <v>729</v>
      </c>
      <c r="B80" s="9" t="s">
        <v>735</v>
      </c>
      <c r="C80" s="9" t="s">
        <v>683</v>
      </c>
      <c r="D80" s="10">
        <v>45910</v>
      </c>
      <c r="E80" s="9" t="s">
        <v>684</v>
      </c>
      <c r="F80" s="9" t="s">
        <v>645</v>
      </c>
      <c r="G80" s="9" t="s">
        <v>736</v>
      </c>
      <c r="H80" s="9" t="s">
        <v>737</v>
      </c>
      <c r="I80" s="9" t="s">
        <v>609</v>
      </c>
      <c r="J80" s="9">
        <v>1</v>
      </c>
      <c r="K80" s="9">
        <v>1</v>
      </c>
      <c r="L80" s="9" t="s">
        <v>530</v>
      </c>
      <c r="M80" s="9" t="s">
        <v>29</v>
      </c>
      <c r="N80" s="9" t="s">
        <v>564</v>
      </c>
      <c r="O80" s="9" t="s">
        <v>565</v>
      </c>
      <c r="P80" s="9"/>
      <c r="Q80" s="9"/>
      <c r="R80" s="9"/>
      <c r="S80" s="9" t="s">
        <v>32</v>
      </c>
      <c r="T80" s="9" t="s">
        <v>534</v>
      </c>
    </row>
    <row r="81" spans="1:20" ht="15.6" x14ac:dyDescent="0.3">
      <c r="A81" s="9" t="s">
        <v>738</v>
      </c>
      <c r="B81" s="9" t="s">
        <v>739</v>
      </c>
      <c r="C81" s="9" t="s">
        <v>683</v>
      </c>
      <c r="D81" s="10">
        <v>45910</v>
      </c>
      <c r="E81" s="9" t="s">
        <v>684</v>
      </c>
      <c r="F81" s="9" t="s">
        <v>580</v>
      </c>
      <c r="G81" s="9" t="s">
        <v>702</v>
      </c>
      <c r="H81" s="9" t="s">
        <v>703</v>
      </c>
      <c r="I81" s="9" t="s">
        <v>609</v>
      </c>
      <c r="J81" s="9">
        <v>1</v>
      </c>
      <c r="K81" s="9">
        <v>1</v>
      </c>
      <c r="L81" s="9" t="s">
        <v>530</v>
      </c>
      <c r="M81" s="9" t="s">
        <v>29</v>
      </c>
      <c r="N81" s="9" t="s">
        <v>740</v>
      </c>
      <c r="O81" s="9" t="s">
        <v>741</v>
      </c>
      <c r="P81" s="9"/>
      <c r="Q81" s="9"/>
      <c r="R81" s="9"/>
      <c r="S81" s="9" t="s">
        <v>32</v>
      </c>
      <c r="T81" s="9" t="s">
        <v>534</v>
      </c>
    </row>
    <row r="82" spans="1:20" ht="15.6" x14ac:dyDescent="0.3">
      <c r="A82" s="9" t="s">
        <v>738</v>
      </c>
      <c r="B82" s="9" t="s">
        <v>742</v>
      </c>
      <c r="C82" s="9" t="s">
        <v>683</v>
      </c>
      <c r="D82" s="10">
        <v>45910</v>
      </c>
      <c r="E82" s="9" t="s">
        <v>684</v>
      </c>
      <c r="F82" s="9" t="s">
        <v>688</v>
      </c>
      <c r="G82" s="9" t="s">
        <v>688</v>
      </c>
      <c r="H82" s="9" t="s">
        <v>689</v>
      </c>
      <c r="I82" s="9" t="s">
        <v>5</v>
      </c>
      <c r="J82" s="9">
        <v>2</v>
      </c>
      <c r="K82" s="9">
        <v>2</v>
      </c>
      <c r="L82" s="9" t="s">
        <v>530</v>
      </c>
      <c r="M82" s="9" t="s">
        <v>29</v>
      </c>
      <c r="N82" s="9" t="s">
        <v>740</v>
      </c>
      <c r="O82" s="9" t="s">
        <v>741</v>
      </c>
      <c r="P82" s="9"/>
      <c r="Q82" s="9"/>
      <c r="R82" s="9"/>
      <c r="S82" s="9" t="s">
        <v>32</v>
      </c>
      <c r="T82" s="9" t="s">
        <v>534</v>
      </c>
    </row>
    <row r="83" spans="1:20" ht="15.6" x14ac:dyDescent="0.3">
      <c r="A83" s="9" t="s">
        <v>738</v>
      </c>
      <c r="B83" s="9" t="s">
        <v>743</v>
      </c>
      <c r="C83" s="9" t="s">
        <v>683</v>
      </c>
      <c r="D83" s="10">
        <v>45910</v>
      </c>
      <c r="E83" s="9" t="s">
        <v>684</v>
      </c>
      <c r="F83" s="9" t="s">
        <v>631</v>
      </c>
      <c r="G83" s="9" t="s">
        <v>631</v>
      </c>
      <c r="H83" s="9" t="s">
        <v>685</v>
      </c>
      <c r="I83" s="9" t="s">
        <v>5</v>
      </c>
      <c r="J83" s="9">
        <v>2</v>
      </c>
      <c r="K83" s="9">
        <v>2</v>
      </c>
      <c r="L83" s="9" t="s">
        <v>530</v>
      </c>
      <c r="M83" s="9" t="s">
        <v>29</v>
      </c>
      <c r="N83" s="9" t="s">
        <v>740</v>
      </c>
      <c r="O83" s="9" t="s">
        <v>741</v>
      </c>
      <c r="P83" s="9"/>
      <c r="Q83" s="9"/>
      <c r="R83" s="9"/>
      <c r="S83" s="9" t="s">
        <v>32</v>
      </c>
      <c r="T83" s="9" t="s">
        <v>534</v>
      </c>
    </row>
    <row r="84" spans="1:20" ht="15.6" x14ac:dyDescent="0.3">
      <c r="A84" s="9" t="s">
        <v>738</v>
      </c>
      <c r="B84" s="9" t="s">
        <v>744</v>
      </c>
      <c r="C84" s="9" t="s">
        <v>683</v>
      </c>
      <c r="D84" s="10">
        <v>45910</v>
      </c>
      <c r="E84" s="9" t="s">
        <v>684</v>
      </c>
      <c r="F84" s="9" t="s">
        <v>631</v>
      </c>
      <c r="G84" s="9" t="s">
        <v>631</v>
      </c>
      <c r="H84" s="9" t="s">
        <v>685</v>
      </c>
      <c r="I84" s="9" t="s">
        <v>5</v>
      </c>
      <c r="J84" s="9">
        <v>1</v>
      </c>
      <c r="K84" s="9">
        <v>1</v>
      </c>
      <c r="L84" s="9" t="s">
        <v>530</v>
      </c>
      <c r="M84" s="9" t="s">
        <v>29</v>
      </c>
      <c r="N84" s="9" t="s">
        <v>740</v>
      </c>
      <c r="O84" s="9" t="s">
        <v>741</v>
      </c>
      <c r="P84" s="9"/>
      <c r="Q84" s="9"/>
      <c r="R84" s="9"/>
      <c r="S84" s="9" t="s">
        <v>32</v>
      </c>
      <c r="T84" s="9" t="s">
        <v>534</v>
      </c>
    </row>
    <row r="85" spans="1:20" ht="15.6" x14ac:dyDescent="0.3">
      <c r="A85" s="9" t="s">
        <v>738</v>
      </c>
      <c r="B85" s="9" t="s">
        <v>745</v>
      </c>
      <c r="C85" s="9" t="s">
        <v>683</v>
      </c>
      <c r="D85" s="10">
        <v>45910</v>
      </c>
      <c r="E85" s="9" t="s">
        <v>684</v>
      </c>
      <c r="F85" s="9" t="s">
        <v>631</v>
      </c>
      <c r="G85" s="9" t="s">
        <v>631</v>
      </c>
      <c r="H85" s="9" t="s">
        <v>685</v>
      </c>
      <c r="I85" s="9" t="s">
        <v>5</v>
      </c>
      <c r="J85" s="9">
        <v>1</v>
      </c>
      <c r="K85" s="9">
        <v>1</v>
      </c>
      <c r="L85" s="9" t="s">
        <v>530</v>
      </c>
      <c r="M85" s="9" t="s">
        <v>29</v>
      </c>
      <c r="N85" s="9" t="s">
        <v>740</v>
      </c>
      <c r="O85" s="9" t="s">
        <v>741</v>
      </c>
      <c r="P85" s="9"/>
      <c r="Q85" s="9"/>
      <c r="R85" s="9"/>
      <c r="S85" s="9" t="s">
        <v>32</v>
      </c>
      <c r="T85" s="9" t="s">
        <v>534</v>
      </c>
    </row>
    <row r="86" spans="1:20" ht="15.6" x14ac:dyDescent="0.3">
      <c r="A86" s="9" t="s">
        <v>738</v>
      </c>
      <c r="B86" s="9" t="s">
        <v>746</v>
      </c>
      <c r="C86" s="9" t="s">
        <v>683</v>
      </c>
      <c r="D86" s="10">
        <v>45910</v>
      </c>
      <c r="E86" s="9" t="s">
        <v>684</v>
      </c>
      <c r="F86" s="9" t="s">
        <v>542</v>
      </c>
      <c r="G86" s="9" t="s">
        <v>542</v>
      </c>
      <c r="H86" s="9" t="s">
        <v>677</v>
      </c>
      <c r="I86" s="9" t="s">
        <v>5</v>
      </c>
      <c r="J86" s="9">
        <v>3</v>
      </c>
      <c r="K86" s="9">
        <v>3</v>
      </c>
      <c r="L86" s="9" t="s">
        <v>530</v>
      </c>
      <c r="M86" s="9" t="s">
        <v>29</v>
      </c>
      <c r="N86" s="9" t="s">
        <v>740</v>
      </c>
      <c r="O86" s="9" t="s">
        <v>741</v>
      </c>
      <c r="P86" s="9"/>
      <c r="Q86" s="9"/>
      <c r="R86" s="9"/>
      <c r="S86" s="9" t="s">
        <v>32</v>
      </c>
      <c r="T86" s="9" t="s">
        <v>534</v>
      </c>
    </row>
    <row r="87" spans="1:20" ht="15.6" x14ac:dyDescent="0.3">
      <c r="A87" s="9" t="s">
        <v>747</v>
      </c>
      <c r="B87" s="9" t="s">
        <v>748</v>
      </c>
      <c r="C87" s="9" t="s">
        <v>683</v>
      </c>
      <c r="D87" s="10">
        <v>45910</v>
      </c>
      <c r="E87" s="9" t="s">
        <v>684</v>
      </c>
      <c r="F87" s="9" t="s">
        <v>645</v>
      </c>
      <c r="G87" s="9" t="s">
        <v>736</v>
      </c>
      <c r="H87" s="9" t="s">
        <v>737</v>
      </c>
      <c r="I87" s="9" t="s">
        <v>609</v>
      </c>
      <c r="J87" s="9">
        <v>1</v>
      </c>
      <c r="K87" s="9">
        <v>1</v>
      </c>
      <c r="L87" s="9" t="s">
        <v>530</v>
      </c>
      <c r="M87" s="9" t="s">
        <v>29</v>
      </c>
      <c r="N87" s="9" t="s">
        <v>749</v>
      </c>
      <c r="O87" s="9" t="s">
        <v>750</v>
      </c>
      <c r="P87" s="9"/>
      <c r="Q87" s="9"/>
      <c r="R87" s="9"/>
      <c r="S87" s="9" t="s">
        <v>32</v>
      </c>
      <c r="T87" s="9" t="s">
        <v>534</v>
      </c>
    </row>
    <row r="88" spans="1:20" ht="15.6" x14ac:dyDescent="0.3">
      <c r="A88" s="9" t="s">
        <v>747</v>
      </c>
      <c r="B88" s="9" t="s">
        <v>751</v>
      </c>
      <c r="C88" s="9" t="s">
        <v>683</v>
      </c>
      <c r="D88" s="10">
        <v>45910</v>
      </c>
      <c r="E88" s="9" t="s">
        <v>684</v>
      </c>
      <c r="F88" s="9" t="s">
        <v>580</v>
      </c>
      <c r="G88" s="9" t="s">
        <v>702</v>
      </c>
      <c r="H88" s="9" t="s">
        <v>703</v>
      </c>
      <c r="I88" s="9" t="s">
        <v>609</v>
      </c>
      <c r="J88" s="9">
        <v>2</v>
      </c>
      <c r="K88" s="9">
        <v>2</v>
      </c>
      <c r="L88" s="9" t="s">
        <v>530</v>
      </c>
      <c r="M88" s="9" t="s">
        <v>29</v>
      </c>
      <c r="N88" s="9" t="s">
        <v>749</v>
      </c>
      <c r="O88" s="9" t="s">
        <v>750</v>
      </c>
      <c r="P88" s="9"/>
      <c r="Q88" s="9"/>
      <c r="R88" s="9"/>
      <c r="S88" s="9" t="s">
        <v>32</v>
      </c>
      <c r="T88" s="9" t="s">
        <v>534</v>
      </c>
    </row>
    <row r="89" spans="1:20" ht="15.6" x14ac:dyDescent="0.3">
      <c r="A89" s="9" t="s">
        <v>747</v>
      </c>
      <c r="B89" s="9" t="s">
        <v>752</v>
      </c>
      <c r="C89" s="9" t="s">
        <v>683</v>
      </c>
      <c r="D89" s="10">
        <v>45910</v>
      </c>
      <c r="E89" s="9" t="s">
        <v>684</v>
      </c>
      <c r="F89" s="9" t="s">
        <v>542</v>
      </c>
      <c r="G89" s="9" t="s">
        <v>542</v>
      </c>
      <c r="H89" s="9" t="s">
        <v>677</v>
      </c>
      <c r="I89" s="9" t="s">
        <v>5</v>
      </c>
      <c r="J89" s="9">
        <v>2</v>
      </c>
      <c r="K89" s="9">
        <v>2</v>
      </c>
      <c r="L89" s="9" t="s">
        <v>530</v>
      </c>
      <c r="M89" s="9" t="s">
        <v>29</v>
      </c>
      <c r="N89" s="9" t="s">
        <v>749</v>
      </c>
      <c r="O89" s="9" t="s">
        <v>750</v>
      </c>
      <c r="P89" s="9"/>
      <c r="Q89" s="9"/>
      <c r="R89" s="9"/>
      <c r="S89" s="9" t="s">
        <v>32</v>
      </c>
      <c r="T89" s="9" t="s">
        <v>534</v>
      </c>
    </row>
    <row r="90" spans="1:20" ht="15.6" x14ac:dyDescent="0.3">
      <c r="A90" s="9" t="s">
        <v>747</v>
      </c>
      <c r="B90" s="9" t="s">
        <v>753</v>
      </c>
      <c r="C90" s="9" t="s">
        <v>683</v>
      </c>
      <c r="D90" s="10">
        <v>45910</v>
      </c>
      <c r="E90" s="9" t="s">
        <v>684</v>
      </c>
      <c r="F90" s="9" t="s">
        <v>542</v>
      </c>
      <c r="G90" s="9" t="s">
        <v>542</v>
      </c>
      <c r="H90" s="9" t="s">
        <v>677</v>
      </c>
      <c r="I90" s="9" t="s">
        <v>5</v>
      </c>
      <c r="J90" s="9">
        <v>1</v>
      </c>
      <c r="K90" s="9">
        <v>1</v>
      </c>
      <c r="L90" s="9" t="s">
        <v>530</v>
      </c>
      <c r="M90" s="9" t="s">
        <v>29</v>
      </c>
      <c r="N90" s="9" t="s">
        <v>749</v>
      </c>
      <c r="O90" s="9" t="s">
        <v>750</v>
      </c>
      <c r="P90" s="9"/>
      <c r="Q90" s="9"/>
      <c r="R90" s="9"/>
      <c r="S90" s="9" t="s">
        <v>32</v>
      </c>
      <c r="T90" s="9" t="s">
        <v>534</v>
      </c>
    </row>
    <row r="91" spans="1:20" ht="15.6" x14ac:dyDescent="0.3">
      <c r="A91" s="9" t="s">
        <v>747</v>
      </c>
      <c r="B91" s="9" t="s">
        <v>754</v>
      </c>
      <c r="C91" s="9" t="s">
        <v>683</v>
      </c>
      <c r="D91" s="10">
        <v>45910</v>
      </c>
      <c r="E91" s="9" t="s">
        <v>684</v>
      </c>
      <c r="F91" s="9" t="s">
        <v>688</v>
      </c>
      <c r="G91" s="9" t="s">
        <v>688</v>
      </c>
      <c r="H91" s="9" t="s">
        <v>689</v>
      </c>
      <c r="I91" s="9" t="s">
        <v>5</v>
      </c>
      <c r="J91" s="9">
        <v>2</v>
      </c>
      <c r="K91" s="9">
        <v>2</v>
      </c>
      <c r="L91" s="9" t="s">
        <v>530</v>
      </c>
      <c r="M91" s="9" t="s">
        <v>29</v>
      </c>
      <c r="N91" s="9" t="s">
        <v>749</v>
      </c>
      <c r="O91" s="9" t="s">
        <v>750</v>
      </c>
      <c r="P91" s="9"/>
      <c r="Q91" s="9"/>
      <c r="R91" s="9"/>
      <c r="S91" s="9" t="s">
        <v>32</v>
      </c>
      <c r="T91" s="9" t="s">
        <v>534</v>
      </c>
    </row>
    <row r="92" spans="1:20" ht="15.6" x14ac:dyDescent="0.3">
      <c r="A92" s="9" t="s">
        <v>747</v>
      </c>
      <c r="B92" s="9" t="s">
        <v>755</v>
      </c>
      <c r="C92" s="9" t="s">
        <v>683</v>
      </c>
      <c r="D92" s="10">
        <v>45910</v>
      </c>
      <c r="E92" s="9" t="s">
        <v>684</v>
      </c>
      <c r="F92" s="9" t="s">
        <v>631</v>
      </c>
      <c r="G92" s="9" t="s">
        <v>756</v>
      </c>
      <c r="H92" s="9" t="s">
        <v>757</v>
      </c>
      <c r="I92" s="9" t="s">
        <v>27</v>
      </c>
      <c r="J92" s="9">
        <v>1</v>
      </c>
      <c r="K92" s="9">
        <v>1</v>
      </c>
      <c r="L92" s="9" t="s">
        <v>530</v>
      </c>
      <c r="M92" s="9" t="s">
        <v>29</v>
      </c>
      <c r="N92" s="9" t="s">
        <v>749</v>
      </c>
      <c r="O92" s="9" t="s">
        <v>750</v>
      </c>
      <c r="P92" s="9"/>
      <c r="Q92" s="9"/>
      <c r="R92" s="9"/>
      <c r="S92" s="9" t="s">
        <v>32</v>
      </c>
      <c r="T92" s="9" t="s">
        <v>534</v>
      </c>
    </row>
    <row r="93" spans="1:20" ht="15.6" x14ac:dyDescent="0.3">
      <c r="A93" s="9" t="s">
        <v>758</v>
      </c>
      <c r="B93" s="9" t="s">
        <v>759</v>
      </c>
      <c r="C93" s="9" t="s">
        <v>683</v>
      </c>
      <c r="D93" s="10">
        <v>45910</v>
      </c>
      <c r="E93" s="9" t="s">
        <v>684</v>
      </c>
      <c r="F93" s="9" t="s">
        <v>631</v>
      </c>
      <c r="G93" s="9" t="s">
        <v>631</v>
      </c>
      <c r="H93" s="9" t="s">
        <v>685</v>
      </c>
      <c r="I93" s="9" t="s">
        <v>5</v>
      </c>
      <c r="J93" s="9">
        <v>1</v>
      </c>
      <c r="K93" s="9">
        <v>1</v>
      </c>
      <c r="L93" s="9" t="s">
        <v>530</v>
      </c>
      <c r="M93" s="9" t="s">
        <v>29</v>
      </c>
      <c r="N93" s="9" t="s">
        <v>760</v>
      </c>
      <c r="O93" s="9" t="s">
        <v>761</v>
      </c>
      <c r="P93" s="9"/>
      <c r="Q93" s="9"/>
      <c r="R93" s="9"/>
      <c r="S93" s="9" t="s">
        <v>32</v>
      </c>
      <c r="T93" s="9" t="s">
        <v>534</v>
      </c>
    </row>
    <row r="94" spans="1:20" ht="15.6" x14ac:dyDescent="0.3">
      <c r="A94" s="35" t="s">
        <v>758</v>
      </c>
      <c r="B94" s="35" t="s">
        <v>762</v>
      </c>
      <c r="C94" s="35" t="s">
        <v>683</v>
      </c>
      <c r="D94" s="36">
        <v>45910</v>
      </c>
      <c r="E94" s="35" t="s">
        <v>684</v>
      </c>
      <c r="F94" s="35" t="s">
        <v>688</v>
      </c>
      <c r="G94" s="35" t="s">
        <v>688</v>
      </c>
      <c r="H94" s="35" t="s">
        <v>689</v>
      </c>
      <c r="I94" s="35" t="s">
        <v>5</v>
      </c>
      <c r="J94" s="35">
        <v>1</v>
      </c>
      <c r="K94" s="35">
        <v>1</v>
      </c>
      <c r="L94" s="35" t="s">
        <v>530</v>
      </c>
      <c r="M94" s="35" t="s">
        <v>29</v>
      </c>
      <c r="N94" s="35" t="s">
        <v>760</v>
      </c>
      <c r="O94" s="35" t="s">
        <v>761</v>
      </c>
      <c r="P94" s="35"/>
      <c r="Q94" s="35"/>
      <c r="R94" s="35"/>
      <c r="S94" s="35" t="s">
        <v>32</v>
      </c>
      <c r="T94" s="35" t="s">
        <v>534</v>
      </c>
    </row>
    <row r="95" spans="1:20" ht="15.6" x14ac:dyDescent="0.3">
      <c r="A95" s="38" t="s">
        <v>763</v>
      </c>
      <c r="B95" s="38" t="s">
        <v>764</v>
      </c>
      <c r="C95" s="35" t="s">
        <v>683</v>
      </c>
      <c r="D95" s="37">
        <v>45910</v>
      </c>
      <c r="E95" s="38" t="s">
        <v>684</v>
      </c>
      <c r="F95" s="38" t="s">
        <v>580</v>
      </c>
      <c r="G95" s="38" t="s">
        <v>702</v>
      </c>
      <c r="H95" s="38" t="s">
        <v>703</v>
      </c>
      <c r="I95" s="38" t="s">
        <v>609</v>
      </c>
      <c r="J95" s="38">
        <v>2</v>
      </c>
      <c r="K95" s="38">
        <v>2</v>
      </c>
      <c r="L95" s="38" t="s">
        <v>530</v>
      </c>
      <c r="M95" s="38" t="s">
        <v>29</v>
      </c>
      <c r="N95" s="35" t="s">
        <v>698</v>
      </c>
      <c r="O95" s="35" t="s">
        <v>699</v>
      </c>
      <c r="P95" s="38"/>
      <c r="Q95" s="38"/>
      <c r="R95" s="38"/>
      <c r="S95" s="38" t="s">
        <v>32</v>
      </c>
      <c r="T95" s="35" t="s">
        <v>534</v>
      </c>
    </row>
    <row r="96" spans="1:20" ht="15.6" x14ac:dyDescent="0.3">
      <c r="A96" s="9" t="s">
        <v>763</v>
      </c>
      <c r="B96" s="9" t="s">
        <v>765</v>
      </c>
      <c r="C96" s="9" t="s">
        <v>683</v>
      </c>
      <c r="D96" s="10">
        <v>45910</v>
      </c>
      <c r="E96" s="9" t="s">
        <v>684</v>
      </c>
      <c r="F96" s="9" t="s">
        <v>631</v>
      </c>
      <c r="G96" s="9" t="s">
        <v>632</v>
      </c>
      <c r="H96" s="9" t="s">
        <v>633</v>
      </c>
      <c r="I96" s="9" t="s">
        <v>609</v>
      </c>
      <c r="J96" s="9">
        <v>2</v>
      </c>
      <c r="K96" s="9">
        <v>2</v>
      </c>
      <c r="L96" s="9" t="s">
        <v>530</v>
      </c>
      <c r="M96" s="9" t="s">
        <v>29</v>
      </c>
      <c r="N96" s="9" t="s">
        <v>698</v>
      </c>
      <c r="O96" s="9" t="s">
        <v>699</v>
      </c>
      <c r="P96" s="9"/>
      <c r="Q96" s="9"/>
      <c r="R96" s="9"/>
      <c r="S96" s="9" t="s">
        <v>32</v>
      </c>
      <c r="T96" s="9" t="s">
        <v>534</v>
      </c>
    </row>
    <row r="97" spans="1:20" ht="15.6" x14ac:dyDescent="0.3">
      <c r="A97" s="9" t="s">
        <v>763</v>
      </c>
      <c r="B97" s="9" t="s">
        <v>766</v>
      </c>
      <c r="C97" s="9" t="s">
        <v>683</v>
      </c>
      <c r="D97" s="10">
        <v>45910</v>
      </c>
      <c r="E97" s="9" t="s">
        <v>684</v>
      </c>
      <c r="F97" s="9" t="s">
        <v>767</v>
      </c>
      <c r="G97" s="9" t="s">
        <v>767</v>
      </c>
      <c r="H97" s="9" t="s">
        <v>768</v>
      </c>
      <c r="I97" s="9" t="s">
        <v>5</v>
      </c>
      <c r="J97" s="9">
        <v>1</v>
      </c>
      <c r="K97" s="9">
        <v>1</v>
      </c>
      <c r="L97" s="9" t="s">
        <v>530</v>
      </c>
      <c r="M97" s="9" t="s">
        <v>29</v>
      </c>
      <c r="N97" s="9" t="s">
        <v>698</v>
      </c>
      <c r="O97" s="9" t="s">
        <v>699</v>
      </c>
      <c r="P97" s="9"/>
      <c r="Q97" s="9"/>
      <c r="R97" s="9"/>
      <c r="S97" s="9" t="s">
        <v>32</v>
      </c>
      <c r="T97" s="9" t="s">
        <v>534</v>
      </c>
    </row>
    <row r="98" spans="1:20" ht="15.6" x14ac:dyDescent="0.3">
      <c r="A98" s="9" t="s">
        <v>769</v>
      </c>
      <c r="B98" s="9" t="s">
        <v>770</v>
      </c>
      <c r="C98" s="9" t="s">
        <v>683</v>
      </c>
      <c r="D98" s="10">
        <v>45910</v>
      </c>
      <c r="E98" s="9" t="s">
        <v>684</v>
      </c>
      <c r="F98" s="9" t="s">
        <v>688</v>
      </c>
      <c r="G98" s="9" t="s">
        <v>688</v>
      </c>
      <c r="H98" s="9" t="s">
        <v>689</v>
      </c>
      <c r="I98" s="9" t="s">
        <v>5</v>
      </c>
      <c r="J98" s="9">
        <v>3</v>
      </c>
      <c r="K98" s="9">
        <v>3</v>
      </c>
      <c r="L98" s="9" t="s">
        <v>530</v>
      </c>
      <c r="M98" s="9" t="s">
        <v>29</v>
      </c>
      <c r="N98" s="9" t="s">
        <v>653</v>
      </c>
      <c r="O98" s="9" t="s">
        <v>654</v>
      </c>
      <c r="P98" s="9"/>
      <c r="Q98" s="9"/>
      <c r="R98" s="9"/>
      <c r="S98" s="9" t="s">
        <v>32</v>
      </c>
      <c r="T98" s="9" t="s">
        <v>534</v>
      </c>
    </row>
    <row r="99" spans="1:20" ht="15.6" x14ac:dyDescent="0.3">
      <c r="A99" s="9" t="s">
        <v>681</v>
      </c>
      <c r="B99" s="9" t="s">
        <v>682</v>
      </c>
      <c r="C99" s="9" t="s">
        <v>683</v>
      </c>
      <c r="D99" s="10">
        <v>45909</v>
      </c>
      <c r="E99" s="9" t="s">
        <v>684</v>
      </c>
      <c r="F99" s="9" t="s">
        <v>631</v>
      </c>
      <c r="G99" s="9" t="s">
        <v>631</v>
      </c>
      <c r="H99" s="9" t="s">
        <v>685</v>
      </c>
      <c r="I99" s="9" t="s">
        <v>5</v>
      </c>
      <c r="J99" s="9">
        <v>1</v>
      </c>
      <c r="K99" s="9">
        <v>1</v>
      </c>
      <c r="L99" s="9" t="s">
        <v>686</v>
      </c>
      <c r="M99" s="9" t="s">
        <v>29</v>
      </c>
      <c r="N99" s="9" t="s">
        <v>564</v>
      </c>
      <c r="O99" s="9" t="s">
        <v>565</v>
      </c>
      <c r="P99" s="9"/>
      <c r="Q99" s="9"/>
      <c r="R99" s="9"/>
      <c r="S99" s="9" t="s">
        <v>32</v>
      </c>
      <c r="T99" s="9" t="s">
        <v>534</v>
      </c>
    </row>
    <row r="100" spans="1:20" ht="15.6" x14ac:dyDescent="0.3">
      <c r="A100" s="9" t="s">
        <v>681</v>
      </c>
      <c r="B100" s="9" t="s">
        <v>687</v>
      </c>
      <c r="C100" s="9" t="s">
        <v>683</v>
      </c>
      <c r="D100" s="10">
        <v>45909</v>
      </c>
      <c r="E100" s="9" t="s">
        <v>684</v>
      </c>
      <c r="F100" s="9" t="s">
        <v>688</v>
      </c>
      <c r="G100" s="9" t="s">
        <v>688</v>
      </c>
      <c r="H100" s="9" t="s">
        <v>689</v>
      </c>
      <c r="I100" s="9" t="s">
        <v>5</v>
      </c>
      <c r="J100" s="9">
        <v>1</v>
      </c>
      <c r="K100" s="9">
        <v>1</v>
      </c>
      <c r="L100" s="9" t="s">
        <v>686</v>
      </c>
      <c r="M100" s="9" t="s">
        <v>29</v>
      </c>
      <c r="N100" s="9" t="s">
        <v>564</v>
      </c>
      <c r="O100" s="9" t="s">
        <v>565</v>
      </c>
      <c r="P100" s="9"/>
      <c r="Q100" s="9"/>
      <c r="R100" s="9"/>
      <c r="S100" s="9" t="s">
        <v>32</v>
      </c>
      <c r="T100" s="9" t="s">
        <v>534</v>
      </c>
    </row>
    <row r="101" spans="1:20" ht="15.6" x14ac:dyDescent="0.3">
      <c r="A101" s="9" t="s">
        <v>681</v>
      </c>
      <c r="B101" s="9" t="s">
        <v>690</v>
      </c>
      <c r="C101" s="9" t="s">
        <v>683</v>
      </c>
      <c r="D101" s="10">
        <v>45909</v>
      </c>
      <c r="E101" s="9" t="s">
        <v>684</v>
      </c>
      <c r="F101" s="9" t="s">
        <v>691</v>
      </c>
      <c r="G101" s="9" t="s">
        <v>691</v>
      </c>
      <c r="H101" s="9" t="s">
        <v>692</v>
      </c>
      <c r="I101" s="9" t="s">
        <v>5</v>
      </c>
      <c r="J101" s="9">
        <v>1</v>
      </c>
      <c r="K101" s="9">
        <v>1</v>
      </c>
      <c r="L101" s="9" t="s">
        <v>686</v>
      </c>
      <c r="M101" s="9" t="s">
        <v>29</v>
      </c>
      <c r="N101" s="9" t="s">
        <v>564</v>
      </c>
      <c r="O101" s="9" t="s">
        <v>565</v>
      </c>
      <c r="P101" s="9"/>
      <c r="Q101" s="9"/>
      <c r="R101" s="9"/>
      <c r="S101" s="9" t="s">
        <v>32</v>
      </c>
      <c r="T101" s="9" t="s">
        <v>534</v>
      </c>
    </row>
    <row r="102" spans="1:20" ht="15.6" x14ac:dyDescent="0.3">
      <c r="A102" s="35" t="s">
        <v>693</v>
      </c>
      <c r="B102" s="35" t="s">
        <v>694</v>
      </c>
      <c r="C102" s="35" t="s">
        <v>683</v>
      </c>
      <c r="D102" s="36">
        <v>45909</v>
      </c>
      <c r="E102" s="35" t="s">
        <v>684</v>
      </c>
      <c r="F102" s="35" t="s">
        <v>695</v>
      </c>
      <c r="G102" s="35" t="s">
        <v>696</v>
      </c>
      <c r="H102" s="35" t="s">
        <v>697</v>
      </c>
      <c r="I102" s="35" t="s">
        <v>5</v>
      </c>
      <c r="J102" s="35">
        <v>1</v>
      </c>
      <c r="K102" s="35">
        <v>1</v>
      </c>
      <c r="L102" s="35" t="s">
        <v>686</v>
      </c>
      <c r="M102" s="35" t="s">
        <v>29</v>
      </c>
      <c r="N102" s="35" t="s">
        <v>698</v>
      </c>
      <c r="O102" s="35" t="s">
        <v>699</v>
      </c>
      <c r="P102" s="35"/>
      <c r="Q102" s="35"/>
      <c r="R102" s="35"/>
      <c r="S102" s="35" t="s">
        <v>32</v>
      </c>
      <c r="T102" s="35" t="s">
        <v>534</v>
      </c>
    </row>
    <row r="103" spans="1:20" ht="15.6" x14ac:dyDescent="0.3">
      <c r="A103" s="38" t="s">
        <v>700</v>
      </c>
      <c r="B103" s="38" t="s">
        <v>701</v>
      </c>
      <c r="C103" s="35" t="s">
        <v>683</v>
      </c>
      <c r="D103" s="37">
        <v>45909</v>
      </c>
      <c r="E103" s="38" t="s">
        <v>684</v>
      </c>
      <c r="F103" s="38" t="s">
        <v>580</v>
      </c>
      <c r="G103" s="38" t="s">
        <v>702</v>
      </c>
      <c r="H103" s="38" t="s">
        <v>703</v>
      </c>
      <c r="I103" s="38" t="s">
        <v>609</v>
      </c>
      <c r="J103" s="38">
        <v>1</v>
      </c>
      <c r="K103" s="38">
        <v>1</v>
      </c>
      <c r="L103" s="38" t="s">
        <v>686</v>
      </c>
      <c r="M103" s="38" t="s">
        <v>29</v>
      </c>
      <c r="N103" s="38" t="s">
        <v>653</v>
      </c>
      <c r="O103" s="38" t="s">
        <v>654</v>
      </c>
      <c r="P103" s="38"/>
      <c r="Q103" s="38"/>
      <c r="R103" s="38"/>
      <c r="S103" s="38" t="s">
        <v>32</v>
      </c>
      <c r="T103" s="35" t="s">
        <v>534</v>
      </c>
    </row>
    <row r="104" spans="1:20" x14ac:dyDescent="0.3">
      <c r="J104">
        <f>SUM(J2:J103)</f>
        <v>294</v>
      </c>
      <c r="K104">
        <f>SUM(K2:K103)</f>
        <v>294</v>
      </c>
    </row>
  </sheetData>
  <sortState xmlns:xlrd2="http://schemas.microsoft.com/office/spreadsheetml/2017/richdata2" ref="A2:T103">
    <sortCondition ref="A1:A103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4119C9-038A-4378-A419-24FD3CA34485}">
  <dimension ref="A1:Z37"/>
  <sheetViews>
    <sheetView topLeftCell="H1" workbookViewId="0">
      <selection activeCell="Y3" sqref="Y3:Z15"/>
    </sheetView>
  </sheetViews>
  <sheetFormatPr defaultRowHeight="14.4" x14ac:dyDescent="0.3"/>
  <cols>
    <col min="1" max="1" width="9" style="44" bestFit="1" customWidth="1"/>
    <col min="2" max="2" width="13.21875" style="44" hidden="1" customWidth="1"/>
    <col min="3" max="3" width="19" style="44" hidden="1" customWidth="1"/>
    <col min="4" max="4" width="11.6640625" style="44" hidden="1" customWidth="1"/>
    <col min="5" max="5" width="9.21875" style="44" bestFit="1" customWidth="1"/>
    <col min="6" max="6" width="16.77734375" style="44" bestFit="1" customWidth="1"/>
    <col min="7" max="7" width="15.88671875" style="44" bestFit="1" customWidth="1"/>
    <col min="8" max="8" width="25.109375" style="44" bestFit="1" customWidth="1"/>
    <col min="9" max="9" width="11" bestFit="1" customWidth="1"/>
    <col min="10" max="10" width="16" bestFit="1" customWidth="1"/>
    <col min="11" max="11" width="18" bestFit="1" customWidth="1"/>
    <col min="12" max="12" width="22.5546875" bestFit="1" customWidth="1"/>
    <col min="13" max="13" width="17" bestFit="1" customWidth="1"/>
    <col min="14" max="20" width="0" hidden="1" customWidth="1"/>
  </cols>
  <sheetData>
    <row r="1" spans="1:26" ht="15.6" x14ac:dyDescent="0.3">
      <c r="A1" s="40" t="s">
        <v>0</v>
      </c>
      <c r="B1" s="40" t="s">
        <v>1</v>
      </c>
      <c r="C1" s="40" t="s">
        <v>2</v>
      </c>
      <c r="D1" s="40" t="s">
        <v>3</v>
      </c>
      <c r="E1" s="41" t="s">
        <v>4</v>
      </c>
      <c r="F1" s="41" t="s">
        <v>5</v>
      </c>
      <c r="G1" s="40" t="s">
        <v>6</v>
      </c>
      <c r="H1" s="40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5" t="s">
        <v>898</v>
      </c>
      <c r="Q1" s="6" t="s">
        <v>16</v>
      </c>
      <c r="R1" s="6" t="s">
        <v>17</v>
      </c>
      <c r="S1" s="7" t="s">
        <v>18</v>
      </c>
      <c r="T1" s="8" t="s">
        <v>19</v>
      </c>
    </row>
    <row r="2" spans="1:26" ht="15.6" x14ac:dyDescent="0.3">
      <c r="A2" s="42" t="s">
        <v>949</v>
      </c>
      <c r="B2" s="42" t="s">
        <v>950</v>
      </c>
      <c r="C2" s="42" t="s">
        <v>22</v>
      </c>
      <c r="D2" s="43">
        <v>45911</v>
      </c>
      <c r="E2" s="42" t="s">
        <v>684</v>
      </c>
      <c r="F2" s="42" t="s">
        <v>910</v>
      </c>
      <c r="G2" s="42"/>
      <c r="H2" s="42" t="s">
        <v>911</v>
      </c>
      <c r="I2" s="9" t="s">
        <v>5</v>
      </c>
      <c r="J2" s="9">
        <v>4</v>
      </c>
      <c r="K2" s="9">
        <v>4</v>
      </c>
      <c r="L2" s="9" t="s">
        <v>903</v>
      </c>
      <c r="M2" s="9" t="s">
        <v>29</v>
      </c>
      <c r="N2" s="9" t="s">
        <v>951</v>
      </c>
      <c r="O2" s="9" t="s">
        <v>952</v>
      </c>
      <c r="P2" s="9">
        <v>7</v>
      </c>
      <c r="Q2" s="9"/>
      <c r="R2" s="9"/>
      <c r="S2" s="9" t="s">
        <v>32</v>
      </c>
      <c r="T2" s="9" t="s">
        <v>534</v>
      </c>
      <c r="V2" t="s">
        <v>680</v>
      </c>
      <c r="W2" s="31" t="s">
        <v>520</v>
      </c>
      <c r="Y2" t="s">
        <v>521</v>
      </c>
      <c r="Z2" t="s">
        <v>520</v>
      </c>
    </row>
    <row r="3" spans="1:26" ht="15.6" x14ac:dyDescent="0.3">
      <c r="A3" s="42" t="s">
        <v>949</v>
      </c>
      <c r="B3" s="42" t="s">
        <v>953</v>
      </c>
      <c r="C3" s="42" t="s">
        <v>22</v>
      </c>
      <c r="D3" s="43">
        <v>45911</v>
      </c>
      <c r="E3" s="42" t="s">
        <v>684</v>
      </c>
      <c r="F3" s="42" t="s">
        <v>954</v>
      </c>
      <c r="G3" s="42"/>
      <c r="H3" s="42" t="s">
        <v>928</v>
      </c>
      <c r="I3" s="9" t="s">
        <v>5</v>
      </c>
      <c r="J3" s="9">
        <v>2</v>
      </c>
      <c r="K3" s="9">
        <v>2</v>
      </c>
      <c r="L3" s="9" t="s">
        <v>903</v>
      </c>
      <c r="M3" s="9" t="s">
        <v>29</v>
      </c>
      <c r="N3" s="9" t="s">
        <v>951</v>
      </c>
      <c r="O3" s="9" t="s">
        <v>952</v>
      </c>
      <c r="P3" s="9">
        <v>10</v>
      </c>
      <c r="Q3" s="9"/>
      <c r="R3" s="9"/>
      <c r="S3" s="9" t="s">
        <v>32</v>
      </c>
      <c r="T3" s="9" t="s">
        <v>534</v>
      </c>
      <c r="V3" t="str" cm="1">
        <f t="array" ref="V3:V11">_xlfn.UNIQUE(H2:H20)</f>
        <v>Stonefly_larvae</v>
      </c>
      <c r="W3">
        <f>SUMIF($H$2:$H$20, V3, $J$2:$J$20)</f>
        <v>7</v>
      </c>
      <c r="Y3" t="str" cm="1">
        <f t="array" ref="Y3:Y15">_xlfn.UNIQUE(H21:H36)</f>
        <v>Worm</v>
      </c>
      <c r="Z3">
        <f>SUMIF($H$21:$H$36, Y3, $J$21:$J$36)</f>
        <v>1</v>
      </c>
    </row>
    <row r="4" spans="1:26" ht="15.6" x14ac:dyDescent="0.3">
      <c r="A4" s="42" t="s">
        <v>949</v>
      </c>
      <c r="B4" s="42" t="s">
        <v>955</v>
      </c>
      <c r="C4" s="42" t="s">
        <v>22</v>
      </c>
      <c r="D4" s="43">
        <v>45911</v>
      </c>
      <c r="E4" s="42" t="s">
        <v>684</v>
      </c>
      <c r="F4" s="42" t="s">
        <v>695</v>
      </c>
      <c r="G4" s="42"/>
      <c r="H4" s="42" t="s">
        <v>918</v>
      </c>
      <c r="I4" s="9" t="s">
        <v>5</v>
      </c>
      <c r="J4" s="9">
        <v>1</v>
      </c>
      <c r="K4" s="9">
        <v>1</v>
      </c>
      <c r="L4" s="9" t="s">
        <v>903</v>
      </c>
      <c r="M4" s="9" t="s">
        <v>29</v>
      </c>
      <c r="N4" s="9" t="s">
        <v>951</v>
      </c>
      <c r="O4" s="9" t="s">
        <v>952</v>
      </c>
      <c r="P4" s="9">
        <v>5</v>
      </c>
      <c r="Q4" s="9"/>
      <c r="R4" s="9"/>
      <c r="S4" s="9" t="s">
        <v>32</v>
      </c>
      <c r="T4" s="9" t="s">
        <v>534</v>
      </c>
      <c r="V4" t="str">
        <v>Mayfly_larvae</v>
      </c>
      <c r="W4">
        <f t="shared" ref="W4:W11" si="0">SUMIF($H$2:$H$20, V4, $J$2:$J$20)</f>
        <v>6</v>
      </c>
      <c r="Y4" t="str">
        <v>Blackfly_larvae</v>
      </c>
      <c r="Z4">
        <f t="shared" ref="Z4:Z15" si="1">SUMIF($H$21:$H$36, Y4, $J$21:$J$36)</f>
        <v>2</v>
      </c>
    </row>
    <row r="5" spans="1:26" ht="15.6" x14ac:dyDescent="0.3">
      <c r="A5" s="42" t="s">
        <v>949</v>
      </c>
      <c r="B5" s="42" t="s">
        <v>956</v>
      </c>
      <c r="C5" s="42" t="s">
        <v>22</v>
      </c>
      <c r="D5" s="43">
        <v>45911</v>
      </c>
      <c r="E5" s="42" t="s">
        <v>684</v>
      </c>
      <c r="F5" s="42" t="s">
        <v>901</v>
      </c>
      <c r="G5" s="42"/>
      <c r="H5" s="42" t="s">
        <v>902</v>
      </c>
      <c r="I5" s="9" t="s">
        <v>5</v>
      </c>
      <c r="J5" s="9">
        <v>2</v>
      </c>
      <c r="K5" s="9">
        <v>2</v>
      </c>
      <c r="L5" s="9" t="s">
        <v>903</v>
      </c>
      <c r="M5" s="9" t="s">
        <v>29</v>
      </c>
      <c r="N5" s="9" t="s">
        <v>951</v>
      </c>
      <c r="O5" s="9" t="s">
        <v>952</v>
      </c>
      <c r="P5" s="9">
        <v>1</v>
      </c>
      <c r="Q5" s="9"/>
      <c r="R5" s="9"/>
      <c r="S5" s="9" t="s">
        <v>32</v>
      </c>
      <c r="T5" s="9" t="s">
        <v>534</v>
      </c>
      <c r="V5" t="str">
        <v xml:space="preserve">Waterbeetle </v>
      </c>
      <c r="W5">
        <f t="shared" si="0"/>
        <v>4</v>
      </c>
      <c r="Y5" t="str">
        <v>Diving_beetle</v>
      </c>
      <c r="Z5">
        <f t="shared" si="1"/>
        <v>1</v>
      </c>
    </row>
    <row r="6" spans="1:26" ht="15.6" x14ac:dyDescent="0.3">
      <c r="A6" s="42" t="s">
        <v>957</v>
      </c>
      <c r="B6" s="42" t="s">
        <v>958</v>
      </c>
      <c r="C6" s="42" t="s">
        <v>22</v>
      </c>
      <c r="D6" s="43">
        <v>45912</v>
      </c>
      <c r="E6" s="42" t="s">
        <v>684</v>
      </c>
      <c r="F6" s="42" t="s">
        <v>945</v>
      </c>
      <c r="G6" s="42" t="s">
        <v>946</v>
      </c>
      <c r="H6" s="42" t="s">
        <v>947</v>
      </c>
      <c r="I6" s="9" t="s">
        <v>609</v>
      </c>
      <c r="J6" s="9">
        <v>1</v>
      </c>
      <c r="K6" s="9">
        <v>1</v>
      </c>
      <c r="L6" s="9" t="s">
        <v>903</v>
      </c>
      <c r="M6" s="9" t="s">
        <v>29</v>
      </c>
      <c r="N6" s="9" t="s">
        <v>959</v>
      </c>
      <c r="O6" s="9" t="s">
        <v>960</v>
      </c>
      <c r="P6" s="9"/>
      <c r="Q6" s="9"/>
      <c r="R6" s="9"/>
      <c r="S6" s="9" t="s">
        <v>32</v>
      </c>
      <c r="T6" s="9" t="s">
        <v>534</v>
      </c>
      <c r="V6" t="str">
        <v>Worm</v>
      </c>
      <c r="W6">
        <f t="shared" si="0"/>
        <v>7</v>
      </c>
      <c r="Y6" t="str">
        <v>Lesser Water Boatman</v>
      </c>
      <c r="Z6">
        <f t="shared" si="1"/>
        <v>4</v>
      </c>
    </row>
    <row r="7" spans="1:26" ht="15.6" x14ac:dyDescent="0.3">
      <c r="A7" s="42" t="s">
        <v>957</v>
      </c>
      <c r="B7" s="42" t="s">
        <v>961</v>
      </c>
      <c r="C7" s="42" t="s">
        <v>22</v>
      </c>
      <c r="D7" s="43">
        <v>45912</v>
      </c>
      <c r="E7" s="42" t="s">
        <v>684</v>
      </c>
      <c r="F7" s="42" t="s">
        <v>901</v>
      </c>
      <c r="G7" s="42"/>
      <c r="H7" s="42" t="s">
        <v>902</v>
      </c>
      <c r="I7" s="9" t="s">
        <v>5</v>
      </c>
      <c r="J7" s="9">
        <v>3</v>
      </c>
      <c r="K7" s="9">
        <v>3</v>
      </c>
      <c r="L7" s="9" t="s">
        <v>903</v>
      </c>
      <c r="M7" s="9" t="s">
        <v>29</v>
      </c>
      <c r="N7" s="9" t="s">
        <v>959</v>
      </c>
      <c r="O7" s="9" t="s">
        <v>960</v>
      </c>
      <c r="P7" s="9">
        <v>1</v>
      </c>
      <c r="Q7" s="9"/>
      <c r="R7" s="9"/>
      <c r="S7" s="9" t="s">
        <v>32</v>
      </c>
      <c r="T7" s="9" t="s">
        <v>534</v>
      </c>
      <c r="V7" t="str">
        <v>Dragonfly_larvae</v>
      </c>
      <c r="W7">
        <f t="shared" si="0"/>
        <v>2</v>
      </c>
      <c r="Y7" t="str">
        <v>Damselfly_larvae</v>
      </c>
      <c r="Z7">
        <f t="shared" si="1"/>
        <v>2</v>
      </c>
    </row>
    <row r="8" spans="1:26" ht="15.6" x14ac:dyDescent="0.3">
      <c r="A8" s="42" t="s">
        <v>957</v>
      </c>
      <c r="B8" s="42" t="s">
        <v>962</v>
      </c>
      <c r="C8" s="42" t="s">
        <v>22</v>
      </c>
      <c r="D8" s="43">
        <v>45912</v>
      </c>
      <c r="E8" s="42" t="s">
        <v>684</v>
      </c>
      <c r="F8" s="42" t="s">
        <v>910</v>
      </c>
      <c r="G8" s="42"/>
      <c r="H8" s="42" t="s">
        <v>911</v>
      </c>
      <c r="I8" s="9" t="s">
        <v>5</v>
      </c>
      <c r="J8" s="9">
        <v>1</v>
      </c>
      <c r="K8" s="9">
        <v>1</v>
      </c>
      <c r="L8" s="9" t="s">
        <v>903</v>
      </c>
      <c r="M8" s="9" t="s">
        <v>29</v>
      </c>
      <c r="N8" s="9" t="s">
        <v>959</v>
      </c>
      <c r="O8" s="9" t="s">
        <v>960</v>
      </c>
      <c r="P8" s="9">
        <v>7</v>
      </c>
      <c r="Q8" s="9"/>
      <c r="R8" s="9"/>
      <c r="S8" s="9" t="s">
        <v>32</v>
      </c>
      <c r="T8" s="9" t="s">
        <v>534</v>
      </c>
      <c r="V8" t="str">
        <v>Waterbeetle_larvae</v>
      </c>
      <c r="W8">
        <f t="shared" si="0"/>
        <v>1</v>
      </c>
      <c r="Y8" t="str">
        <v>Dragonfly_larvae</v>
      </c>
      <c r="Z8">
        <f t="shared" si="1"/>
        <v>3</v>
      </c>
    </row>
    <row r="9" spans="1:26" ht="15.6" x14ac:dyDescent="0.3">
      <c r="A9" s="42" t="s">
        <v>957</v>
      </c>
      <c r="B9" s="42" t="s">
        <v>963</v>
      </c>
      <c r="C9" s="42" t="s">
        <v>22</v>
      </c>
      <c r="D9" s="43">
        <v>45912</v>
      </c>
      <c r="E9" s="42" t="s">
        <v>684</v>
      </c>
      <c r="F9" s="42" t="s">
        <v>954</v>
      </c>
      <c r="G9" s="42"/>
      <c r="H9" s="42" t="s">
        <v>928</v>
      </c>
      <c r="I9" s="9" t="s">
        <v>5</v>
      </c>
      <c r="J9" s="9">
        <v>3</v>
      </c>
      <c r="K9" s="9">
        <v>3</v>
      </c>
      <c r="L9" s="9" t="s">
        <v>903</v>
      </c>
      <c r="M9" s="9" t="s">
        <v>29</v>
      </c>
      <c r="N9" s="9" t="s">
        <v>959</v>
      </c>
      <c r="O9" s="9" t="s">
        <v>960</v>
      </c>
      <c r="P9" s="9">
        <v>10</v>
      </c>
      <c r="Q9" s="9"/>
      <c r="R9" s="9"/>
      <c r="S9" s="9" t="s">
        <v>32</v>
      </c>
      <c r="T9" s="9" t="s">
        <v>534</v>
      </c>
      <c r="V9" t="str">
        <v>Cased_caddisfly_larvae</v>
      </c>
      <c r="W9">
        <f t="shared" si="0"/>
        <v>5</v>
      </c>
      <c r="Y9" t="str">
        <v>Greater Water Boatman</v>
      </c>
      <c r="Z9">
        <f t="shared" si="1"/>
        <v>2</v>
      </c>
    </row>
    <row r="10" spans="1:26" ht="15.6" x14ac:dyDescent="0.3">
      <c r="A10" s="42" t="s">
        <v>957</v>
      </c>
      <c r="B10" s="42" t="s">
        <v>964</v>
      </c>
      <c r="C10" s="42" t="s">
        <v>22</v>
      </c>
      <c r="D10" s="43">
        <v>45912</v>
      </c>
      <c r="E10" s="42" t="s">
        <v>684</v>
      </c>
      <c r="F10" s="42" t="s">
        <v>695</v>
      </c>
      <c r="G10" s="42"/>
      <c r="H10" s="42" t="s">
        <v>965</v>
      </c>
      <c r="I10" s="9" t="s">
        <v>5</v>
      </c>
      <c r="J10" s="9">
        <v>1</v>
      </c>
      <c r="K10" s="9">
        <v>1</v>
      </c>
      <c r="L10" s="9" t="s">
        <v>903</v>
      </c>
      <c r="M10" s="9" t="s">
        <v>29</v>
      </c>
      <c r="N10" s="9" t="s">
        <v>959</v>
      </c>
      <c r="O10" s="9" t="s">
        <v>960</v>
      </c>
      <c r="P10" s="9">
        <v>5</v>
      </c>
      <c r="Q10" s="9"/>
      <c r="R10" s="9"/>
      <c r="S10" s="9" t="s">
        <v>32</v>
      </c>
      <c r="T10" s="9" t="s">
        <v>534</v>
      </c>
      <c r="V10" t="str">
        <v>Caddisfly_larvae</v>
      </c>
      <c r="W10">
        <f t="shared" si="0"/>
        <v>1</v>
      </c>
      <c r="Y10" t="str">
        <v>Stonefly_larvae</v>
      </c>
      <c r="Z10">
        <f t="shared" si="1"/>
        <v>9</v>
      </c>
    </row>
    <row r="11" spans="1:26" ht="15.6" x14ac:dyDescent="0.3">
      <c r="A11" s="42" t="s">
        <v>957</v>
      </c>
      <c r="B11" s="42" t="s">
        <v>966</v>
      </c>
      <c r="C11" s="42" t="s">
        <v>22</v>
      </c>
      <c r="D11" s="43">
        <v>45912</v>
      </c>
      <c r="E11" s="42" t="s">
        <v>684</v>
      </c>
      <c r="F11" s="42" t="s">
        <v>652</v>
      </c>
      <c r="G11" s="42"/>
      <c r="H11" s="42" t="s">
        <v>943</v>
      </c>
      <c r="I11" s="9" t="s">
        <v>5</v>
      </c>
      <c r="J11" s="9">
        <v>2</v>
      </c>
      <c r="K11" s="9">
        <v>2</v>
      </c>
      <c r="L11" s="9" t="s">
        <v>903</v>
      </c>
      <c r="M11" s="9" t="s">
        <v>29</v>
      </c>
      <c r="N11" s="9" t="s">
        <v>959</v>
      </c>
      <c r="O11" s="9" t="s">
        <v>960</v>
      </c>
      <c r="P11" s="9" t="s">
        <v>925</v>
      </c>
      <c r="Q11" s="9"/>
      <c r="R11" s="9"/>
      <c r="S11" s="9" t="s">
        <v>32</v>
      </c>
      <c r="T11" s="9" t="s">
        <v>534</v>
      </c>
      <c r="V11" t="str">
        <v>Caseless_caddisfly_larvae</v>
      </c>
      <c r="W11">
        <f t="shared" si="0"/>
        <v>4</v>
      </c>
      <c r="Y11" t="str">
        <v xml:space="preserve">Waterbeetle_larvae </v>
      </c>
      <c r="Z11">
        <f t="shared" si="1"/>
        <v>1</v>
      </c>
    </row>
    <row r="12" spans="1:26" ht="15.6" x14ac:dyDescent="0.3">
      <c r="A12" s="42" t="s">
        <v>931</v>
      </c>
      <c r="B12" s="42" t="s">
        <v>932</v>
      </c>
      <c r="C12" s="42" t="s">
        <v>22</v>
      </c>
      <c r="D12" s="43">
        <v>45911</v>
      </c>
      <c r="E12" s="42" t="s">
        <v>684</v>
      </c>
      <c r="F12" s="42" t="s">
        <v>652</v>
      </c>
      <c r="G12" s="42" t="s">
        <v>933</v>
      </c>
      <c r="H12" s="42" t="s">
        <v>922</v>
      </c>
      <c r="I12" s="9" t="s">
        <v>609</v>
      </c>
      <c r="J12" s="9">
        <v>1</v>
      </c>
      <c r="K12" s="9">
        <v>1</v>
      </c>
      <c r="L12" s="9" t="s">
        <v>903</v>
      </c>
      <c r="M12" s="9" t="s">
        <v>29</v>
      </c>
      <c r="N12" s="9" t="s">
        <v>934</v>
      </c>
      <c r="O12" s="39" t="s">
        <v>935</v>
      </c>
      <c r="P12" s="9">
        <v>5</v>
      </c>
      <c r="Q12" s="9"/>
      <c r="R12" s="9"/>
      <c r="S12" s="9" t="s">
        <v>32</v>
      </c>
      <c r="T12" s="9" t="s">
        <v>534</v>
      </c>
      <c r="V12">
        <f>COUNTA(_xlfn.ANCHORARRAY(V3))</f>
        <v>9</v>
      </c>
      <c r="W12">
        <f>SUM(W3:W11)</f>
        <v>37</v>
      </c>
      <c r="Y12" t="str">
        <v xml:space="preserve">Waterbeetle </v>
      </c>
      <c r="Z12">
        <f t="shared" si="1"/>
        <v>1</v>
      </c>
    </row>
    <row r="13" spans="1:26" ht="15.6" x14ac:dyDescent="0.3">
      <c r="A13" s="42" t="s">
        <v>931</v>
      </c>
      <c r="B13" s="42" t="s">
        <v>936</v>
      </c>
      <c r="C13" s="42" t="s">
        <v>22</v>
      </c>
      <c r="D13" s="43">
        <v>45911</v>
      </c>
      <c r="E13" s="42" t="s">
        <v>684</v>
      </c>
      <c r="F13" s="42" t="s">
        <v>695</v>
      </c>
      <c r="G13" s="42"/>
      <c r="H13" s="42" t="s">
        <v>918</v>
      </c>
      <c r="I13" s="9" t="s">
        <v>5</v>
      </c>
      <c r="J13" s="9">
        <v>3</v>
      </c>
      <c r="K13" s="9">
        <v>3</v>
      </c>
      <c r="L13" s="9" t="s">
        <v>903</v>
      </c>
      <c r="M13" s="9" t="s">
        <v>29</v>
      </c>
      <c r="N13" s="9" t="s">
        <v>934</v>
      </c>
      <c r="O13" s="39" t="s">
        <v>935</v>
      </c>
      <c r="P13" s="9">
        <v>5</v>
      </c>
      <c r="Q13" s="9"/>
      <c r="R13" s="9"/>
      <c r="S13" s="9" t="s">
        <v>32</v>
      </c>
      <c r="T13" s="9" t="s">
        <v>534</v>
      </c>
      <c r="Y13" t="str">
        <v>Caddisfly_larvae</v>
      </c>
      <c r="Z13">
        <f t="shared" si="1"/>
        <v>1</v>
      </c>
    </row>
    <row r="14" spans="1:26" ht="15.6" x14ac:dyDescent="0.3">
      <c r="A14" s="42" t="s">
        <v>931</v>
      </c>
      <c r="B14" s="42" t="s">
        <v>937</v>
      </c>
      <c r="C14" s="42" t="s">
        <v>22</v>
      </c>
      <c r="D14" s="43">
        <v>45911</v>
      </c>
      <c r="E14" s="42" t="s">
        <v>684</v>
      </c>
      <c r="F14" s="42" t="s">
        <v>901</v>
      </c>
      <c r="G14" s="42"/>
      <c r="H14" s="42" t="s">
        <v>902</v>
      </c>
      <c r="I14" s="9" t="s">
        <v>5</v>
      </c>
      <c r="J14" s="9">
        <v>1</v>
      </c>
      <c r="K14" s="9">
        <v>1</v>
      </c>
      <c r="L14" s="9" t="s">
        <v>903</v>
      </c>
      <c r="M14" s="9" t="s">
        <v>29</v>
      </c>
      <c r="N14" s="9" t="s">
        <v>934</v>
      </c>
      <c r="O14" s="39" t="s">
        <v>935</v>
      </c>
      <c r="P14" s="9">
        <v>1</v>
      </c>
      <c r="Q14" s="9"/>
      <c r="R14" s="9"/>
      <c r="S14" s="9" t="s">
        <v>32</v>
      </c>
      <c r="T14" s="9" t="s">
        <v>534</v>
      </c>
      <c r="Y14" t="str">
        <v>Mayfly_larvae</v>
      </c>
      <c r="Z14">
        <f t="shared" si="1"/>
        <v>4</v>
      </c>
    </row>
    <row r="15" spans="1:26" ht="15.6" x14ac:dyDescent="0.3">
      <c r="A15" s="42" t="s">
        <v>931</v>
      </c>
      <c r="B15" s="42" t="s">
        <v>938</v>
      </c>
      <c r="C15" s="42" t="s">
        <v>22</v>
      </c>
      <c r="D15" s="43">
        <v>45911</v>
      </c>
      <c r="E15" s="42" t="s">
        <v>684</v>
      </c>
      <c r="F15" s="42" t="s">
        <v>652</v>
      </c>
      <c r="G15" s="42" t="s">
        <v>939</v>
      </c>
      <c r="H15" s="42" t="s">
        <v>940</v>
      </c>
      <c r="I15" s="9" t="s">
        <v>609</v>
      </c>
      <c r="J15" s="9">
        <v>4</v>
      </c>
      <c r="K15" s="9">
        <v>4</v>
      </c>
      <c r="L15" s="9" t="s">
        <v>903</v>
      </c>
      <c r="M15" s="9" t="s">
        <v>29</v>
      </c>
      <c r="N15" s="9" t="s">
        <v>934</v>
      </c>
      <c r="O15" s="39" t="s">
        <v>935</v>
      </c>
      <c r="P15" s="9" t="s">
        <v>941</v>
      </c>
      <c r="Q15" s="9"/>
      <c r="R15" s="9"/>
      <c r="S15" s="9" t="s">
        <v>32</v>
      </c>
      <c r="T15" s="9" t="s">
        <v>534</v>
      </c>
      <c r="Y15" t="str">
        <v>Caddisfly_case</v>
      </c>
      <c r="Z15">
        <f t="shared" si="1"/>
        <v>1</v>
      </c>
    </row>
    <row r="16" spans="1:26" ht="15.6" x14ac:dyDescent="0.3">
      <c r="A16" s="42" t="s">
        <v>931</v>
      </c>
      <c r="B16" s="42" t="s">
        <v>942</v>
      </c>
      <c r="C16" s="42" t="s">
        <v>22</v>
      </c>
      <c r="D16" s="43">
        <v>45911</v>
      </c>
      <c r="E16" s="42" t="s">
        <v>684</v>
      </c>
      <c r="F16" s="42" t="s">
        <v>652</v>
      </c>
      <c r="G16" s="42"/>
      <c r="H16" s="42" t="s">
        <v>943</v>
      </c>
      <c r="I16" s="9" t="s">
        <v>5</v>
      </c>
      <c r="J16" s="9">
        <v>3</v>
      </c>
      <c r="K16" s="9">
        <v>3</v>
      </c>
      <c r="L16" s="9" t="s">
        <v>903</v>
      </c>
      <c r="M16" s="9" t="s">
        <v>29</v>
      </c>
      <c r="N16" s="9" t="s">
        <v>934</v>
      </c>
      <c r="O16" s="39" t="s">
        <v>935</v>
      </c>
      <c r="P16" s="9" t="s">
        <v>941</v>
      </c>
      <c r="Q16" s="9"/>
      <c r="R16" s="9"/>
      <c r="S16" s="9" t="s">
        <v>32</v>
      </c>
      <c r="T16" s="9" t="s">
        <v>534</v>
      </c>
      <c r="Y16">
        <f>COUNTA(Y3:Y15)</f>
        <v>13</v>
      </c>
      <c r="Z16">
        <f>SUM(Z3:Z15)</f>
        <v>32</v>
      </c>
    </row>
    <row r="17" spans="1:20" ht="15.6" x14ac:dyDescent="0.3">
      <c r="A17" s="42" t="s">
        <v>931</v>
      </c>
      <c r="B17" s="42" t="s">
        <v>944</v>
      </c>
      <c r="C17" s="42" t="s">
        <v>22</v>
      </c>
      <c r="D17" s="43">
        <v>45911</v>
      </c>
      <c r="E17" s="42" t="s">
        <v>684</v>
      </c>
      <c r="F17" s="42" t="s">
        <v>945</v>
      </c>
      <c r="G17" s="42" t="s">
        <v>946</v>
      </c>
      <c r="H17" s="42" t="s">
        <v>947</v>
      </c>
      <c r="I17" s="9" t="s">
        <v>609</v>
      </c>
      <c r="J17" s="9">
        <v>1</v>
      </c>
      <c r="K17" s="9">
        <v>1</v>
      </c>
      <c r="L17" s="9" t="s">
        <v>903</v>
      </c>
      <c r="M17" s="9" t="s">
        <v>29</v>
      </c>
      <c r="N17" s="9" t="s">
        <v>948</v>
      </c>
      <c r="O17" s="39" t="s">
        <v>935</v>
      </c>
      <c r="P17" s="9"/>
      <c r="Q17" s="9"/>
      <c r="R17" s="9"/>
      <c r="S17" s="9" t="s">
        <v>32</v>
      </c>
      <c r="T17" s="9" t="s">
        <v>534</v>
      </c>
    </row>
    <row r="18" spans="1:20" ht="15.6" x14ac:dyDescent="0.3">
      <c r="A18" s="42" t="s">
        <v>967</v>
      </c>
      <c r="B18" s="42" t="s">
        <v>968</v>
      </c>
      <c r="C18" s="42" t="s">
        <v>22</v>
      </c>
      <c r="D18" s="43">
        <v>45912</v>
      </c>
      <c r="E18" s="42" t="s">
        <v>684</v>
      </c>
      <c r="F18" s="42" t="s">
        <v>910</v>
      </c>
      <c r="G18" s="42"/>
      <c r="H18" s="42" t="s">
        <v>911</v>
      </c>
      <c r="I18" s="9" t="s">
        <v>5</v>
      </c>
      <c r="J18" s="9">
        <v>2</v>
      </c>
      <c r="K18" s="9">
        <v>2</v>
      </c>
      <c r="L18" s="9" t="s">
        <v>903</v>
      </c>
      <c r="M18" s="9" t="s">
        <v>29</v>
      </c>
      <c r="N18" s="9" t="s">
        <v>969</v>
      </c>
      <c r="O18" s="9" t="s">
        <v>970</v>
      </c>
      <c r="P18" s="9">
        <v>7</v>
      </c>
      <c r="Q18" s="9"/>
      <c r="R18" s="9"/>
      <c r="S18" s="9" t="s">
        <v>32</v>
      </c>
      <c r="T18" s="9" t="s">
        <v>534</v>
      </c>
    </row>
    <row r="19" spans="1:20" ht="15.6" x14ac:dyDescent="0.3">
      <c r="A19" s="42" t="s">
        <v>967</v>
      </c>
      <c r="B19" s="42" t="s">
        <v>971</v>
      </c>
      <c r="C19" s="42" t="s">
        <v>22</v>
      </c>
      <c r="D19" s="43">
        <v>45912</v>
      </c>
      <c r="E19" s="42" t="s">
        <v>684</v>
      </c>
      <c r="F19" s="42" t="s">
        <v>954</v>
      </c>
      <c r="G19" s="42"/>
      <c r="H19" s="42" t="s">
        <v>928</v>
      </c>
      <c r="I19" s="9" t="s">
        <v>5</v>
      </c>
      <c r="J19" s="9">
        <v>1</v>
      </c>
      <c r="K19" s="9">
        <v>1</v>
      </c>
      <c r="L19" s="9" t="s">
        <v>903</v>
      </c>
      <c r="M19" s="9" t="s">
        <v>29</v>
      </c>
      <c r="N19" s="9" t="s">
        <v>969</v>
      </c>
      <c r="O19" s="9" t="s">
        <v>970</v>
      </c>
      <c r="P19" s="9">
        <v>10</v>
      </c>
      <c r="Q19" s="9"/>
      <c r="R19" s="9"/>
      <c r="S19" s="9" t="s">
        <v>32</v>
      </c>
      <c r="T19" s="9" t="s">
        <v>534</v>
      </c>
    </row>
    <row r="20" spans="1:20" ht="15.6" x14ac:dyDescent="0.3">
      <c r="A20" s="42" t="s">
        <v>967</v>
      </c>
      <c r="B20" s="42" t="s">
        <v>972</v>
      </c>
      <c r="C20" s="42" t="s">
        <v>22</v>
      </c>
      <c r="D20" s="43">
        <v>45912</v>
      </c>
      <c r="E20" s="42" t="s">
        <v>684</v>
      </c>
      <c r="F20" s="42" t="s">
        <v>901</v>
      </c>
      <c r="G20" s="42"/>
      <c r="H20" s="42" t="s">
        <v>902</v>
      </c>
      <c r="I20" s="9" t="s">
        <v>5</v>
      </c>
      <c r="J20" s="9">
        <v>1</v>
      </c>
      <c r="K20" s="9">
        <v>1</v>
      </c>
      <c r="L20" s="9" t="s">
        <v>903</v>
      </c>
      <c r="M20" s="9" t="s">
        <v>29</v>
      </c>
      <c r="N20" s="9" t="s">
        <v>969</v>
      </c>
      <c r="O20" s="9" t="s">
        <v>970</v>
      </c>
      <c r="P20" s="9">
        <v>1</v>
      </c>
      <c r="Q20" s="9"/>
      <c r="R20" s="9"/>
      <c r="S20" s="9" t="s">
        <v>32</v>
      </c>
      <c r="T20" s="9" t="s">
        <v>534</v>
      </c>
    </row>
    <row r="21" spans="1:20" ht="15.6" x14ac:dyDescent="0.3">
      <c r="A21" s="42" t="s">
        <v>899</v>
      </c>
      <c r="B21" s="42" t="s">
        <v>900</v>
      </c>
      <c r="C21" s="42" t="s">
        <v>22</v>
      </c>
      <c r="D21" s="43">
        <v>45910</v>
      </c>
      <c r="E21" s="42" t="s">
        <v>684</v>
      </c>
      <c r="F21" s="42" t="s">
        <v>901</v>
      </c>
      <c r="G21" s="42"/>
      <c r="H21" s="42" t="s">
        <v>902</v>
      </c>
      <c r="I21" s="9" t="s">
        <v>5</v>
      </c>
      <c r="J21" s="9">
        <v>1</v>
      </c>
      <c r="K21" s="9">
        <v>1</v>
      </c>
      <c r="L21" s="9" t="s">
        <v>903</v>
      </c>
      <c r="M21" s="9" t="s">
        <v>29</v>
      </c>
      <c r="N21" s="9" t="s">
        <v>904</v>
      </c>
      <c r="O21" s="9" t="s">
        <v>905</v>
      </c>
      <c r="P21" s="9">
        <v>1</v>
      </c>
      <c r="Q21" s="9"/>
      <c r="R21" s="9"/>
      <c r="S21" s="9" t="s">
        <v>32</v>
      </c>
      <c r="T21" s="9" t="s">
        <v>534</v>
      </c>
    </row>
    <row r="22" spans="1:20" ht="15.6" x14ac:dyDescent="0.3">
      <c r="A22" s="42" t="s">
        <v>899</v>
      </c>
      <c r="B22" s="42" t="s">
        <v>906</v>
      </c>
      <c r="C22" s="42" t="s">
        <v>22</v>
      </c>
      <c r="D22" s="43">
        <v>45910</v>
      </c>
      <c r="E22" s="42" t="s">
        <v>684</v>
      </c>
      <c r="F22" s="42" t="s">
        <v>542</v>
      </c>
      <c r="G22" s="42"/>
      <c r="H22" s="42" t="s">
        <v>907</v>
      </c>
      <c r="I22" s="9" t="s">
        <v>5</v>
      </c>
      <c r="J22" s="9">
        <v>1</v>
      </c>
      <c r="K22" s="9">
        <v>1</v>
      </c>
      <c r="L22" s="9" t="s">
        <v>903</v>
      </c>
      <c r="M22" s="9" t="s">
        <v>29</v>
      </c>
      <c r="N22" s="9" t="s">
        <v>904</v>
      </c>
      <c r="O22" s="9" t="s">
        <v>905</v>
      </c>
      <c r="P22" s="9">
        <v>5</v>
      </c>
      <c r="Q22" s="9"/>
      <c r="R22" s="9"/>
      <c r="S22" s="9" t="s">
        <v>32</v>
      </c>
      <c r="T22" s="9" t="s">
        <v>534</v>
      </c>
    </row>
    <row r="23" spans="1:20" ht="15.6" x14ac:dyDescent="0.3">
      <c r="A23" s="42" t="s">
        <v>973</v>
      </c>
      <c r="B23" s="42" t="s">
        <v>974</v>
      </c>
      <c r="C23" s="42" t="s">
        <v>22</v>
      </c>
      <c r="D23" s="43">
        <v>45911</v>
      </c>
      <c r="E23" s="42" t="s">
        <v>684</v>
      </c>
      <c r="F23" s="42" t="s">
        <v>695</v>
      </c>
      <c r="G23" s="42" t="s">
        <v>975</v>
      </c>
      <c r="H23" s="42" t="s">
        <v>976</v>
      </c>
      <c r="I23" s="9" t="s">
        <v>609</v>
      </c>
      <c r="J23" s="9">
        <v>1</v>
      </c>
      <c r="K23" s="9">
        <v>1</v>
      </c>
      <c r="L23" s="9" t="s">
        <v>903</v>
      </c>
      <c r="M23" s="9" t="s">
        <v>29</v>
      </c>
      <c r="N23" s="9" t="s">
        <v>969</v>
      </c>
      <c r="O23" s="9" t="s">
        <v>970</v>
      </c>
      <c r="P23" s="9">
        <v>5</v>
      </c>
      <c r="Q23" s="9"/>
      <c r="R23" s="9"/>
      <c r="S23" s="9" t="s">
        <v>32</v>
      </c>
      <c r="T23" s="9" t="s">
        <v>534</v>
      </c>
    </row>
    <row r="24" spans="1:20" ht="15.6" x14ac:dyDescent="0.3">
      <c r="A24" s="42" t="s">
        <v>973</v>
      </c>
      <c r="B24" s="42" t="s">
        <v>977</v>
      </c>
      <c r="C24" s="42" t="s">
        <v>22</v>
      </c>
      <c r="D24" s="43">
        <v>45911</v>
      </c>
      <c r="E24" s="42" t="s">
        <v>684</v>
      </c>
      <c r="F24" s="42" t="s">
        <v>636</v>
      </c>
      <c r="G24" s="42" t="s">
        <v>978</v>
      </c>
      <c r="H24" s="42" t="s">
        <v>979</v>
      </c>
      <c r="I24" s="9" t="s">
        <v>609</v>
      </c>
      <c r="J24" s="9">
        <v>4</v>
      </c>
      <c r="K24" s="9">
        <v>4</v>
      </c>
      <c r="L24" s="9" t="s">
        <v>903</v>
      </c>
      <c r="M24" s="9" t="s">
        <v>29</v>
      </c>
      <c r="N24" s="39" t="s">
        <v>980</v>
      </c>
      <c r="O24" s="9" t="s">
        <v>981</v>
      </c>
      <c r="P24" s="9"/>
      <c r="Q24" s="9"/>
      <c r="R24" s="9"/>
      <c r="S24" s="9" t="s">
        <v>32</v>
      </c>
      <c r="T24" s="9" t="s">
        <v>534</v>
      </c>
    </row>
    <row r="25" spans="1:20" ht="15.6" x14ac:dyDescent="0.3">
      <c r="A25" s="42" t="s">
        <v>973</v>
      </c>
      <c r="B25" s="42" t="s">
        <v>982</v>
      </c>
      <c r="C25" s="42" t="s">
        <v>22</v>
      </c>
      <c r="D25" s="43">
        <v>45911</v>
      </c>
      <c r="E25" s="42" t="s">
        <v>684</v>
      </c>
      <c r="F25" s="42" t="s">
        <v>945</v>
      </c>
      <c r="G25" s="42" t="s">
        <v>983</v>
      </c>
      <c r="H25" s="42" t="s">
        <v>984</v>
      </c>
      <c r="I25" s="9" t="s">
        <v>985</v>
      </c>
      <c r="J25" s="9">
        <v>2</v>
      </c>
      <c r="K25" s="9">
        <v>2</v>
      </c>
      <c r="L25" s="9" t="s">
        <v>903</v>
      </c>
      <c r="M25" s="9" t="s">
        <v>29</v>
      </c>
      <c r="N25" s="39" t="s">
        <v>980</v>
      </c>
      <c r="O25" s="9" t="s">
        <v>981</v>
      </c>
      <c r="P25" s="9"/>
      <c r="Q25" s="9"/>
      <c r="R25" s="9"/>
      <c r="S25" s="9" t="s">
        <v>32</v>
      </c>
      <c r="T25" s="9" t="s">
        <v>534</v>
      </c>
    </row>
    <row r="26" spans="1:20" ht="15.6" x14ac:dyDescent="0.3">
      <c r="A26" s="42" t="s">
        <v>973</v>
      </c>
      <c r="B26" s="42" t="s">
        <v>986</v>
      </c>
      <c r="C26" s="42" t="s">
        <v>22</v>
      </c>
      <c r="D26" s="43">
        <v>45911</v>
      </c>
      <c r="E26" s="42" t="s">
        <v>684</v>
      </c>
      <c r="F26" s="42" t="s">
        <v>945</v>
      </c>
      <c r="G26" s="42" t="s">
        <v>946</v>
      </c>
      <c r="H26" s="42" t="s">
        <v>947</v>
      </c>
      <c r="I26" s="9" t="s">
        <v>987</v>
      </c>
      <c r="J26" s="9">
        <v>3</v>
      </c>
      <c r="K26" s="9">
        <v>3</v>
      </c>
      <c r="L26" s="9" t="s">
        <v>903</v>
      </c>
      <c r="M26" s="9" t="s">
        <v>29</v>
      </c>
      <c r="N26" s="39" t="s">
        <v>980</v>
      </c>
      <c r="O26" s="9" t="s">
        <v>981</v>
      </c>
      <c r="P26" s="9"/>
      <c r="Q26" s="9"/>
      <c r="R26" s="9"/>
      <c r="S26" s="9" t="s">
        <v>32</v>
      </c>
      <c r="T26" s="9" t="s">
        <v>534</v>
      </c>
    </row>
    <row r="27" spans="1:20" ht="15.6" x14ac:dyDescent="0.3">
      <c r="A27" s="42" t="s">
        <v>973</v>
      </c>
      <c r="B27" s="42" t="s">
        <v>988</v>
      </c>
      <c r="C27" s="42" t="s">
        <v>22</v>
      </c>
      <c r="D27" s="43">
        <v>45911</v>
      </c>
      <c r="E27" s="42" t="s">
        <v>684</v>
      </c>
      <c r="F27" s="42" t="s">
        <v>636</v>
      </c>
      <c r="G27" s="42" t="s">
        <v>989</v>
      </c>
      <c r="H27" s="42" t="s">
        <v>990</v>
      </c>
      <c r="I27" s="9" t="s">
        <v>609</v>
      </c>
      <c r="J27" s="9">
        <v>2</v>
      </c>
      <c r="K27" s="9">
        <v>2</v>
      </c>
      <c r="L27" s="9" t="s">
        <v>903</v>
      </c>
      <c r="M27" s="9" t="s">
        <v>29</v>
      </c>
      <c r="N27" s="39" t="s">
        <v>980</v>
      </c>
      <c r="O27" s="9" t="s">
        <v>981</v>
      </c>
      <c r="P27" s="9"/>
      <c r="Q27" s="9"/>
      <c r="R27" s="9"/>
      <c r="S27" s="9" t="s">
        <v>32</v>
      </c>
      <c r="T27" s="9" t="s">
        <v>534</v>
      </c>
    </row>
    <row r="28" spans="1:20" ht="15.6" x14ac:dyDescent="0.3">
      <c r="A28" s="42" t="s">
        <v>908</v>
      </c>
      <c r="B28" s="42" t="s">
        <v>909</v>
      </c>
      <c r="C28" s="42" t="s">
        <v>22</v>
      </c>
      <c r="D28" s="43">
        <v>45910</v>
      </c>
      <c r="E28" s="42" t="s">
        <v>684</v>
      </c>
      <c r="F28" s="42" t="s">
        <v>910</v>
      </c>
      <c r="G28" s="42"/>
      <c r="H28" s="42" t="s">
        <v>911</v>
      </c>
      <c r="I28" s="9" t="s">
        <v>5</v>
      </c>
      <c r="J28" s="9">
        <v>8</v>
      </c>
      <c r="K28" s="9">
        <v>8</v>
      </c>
      <c r="L28" s="9" t="s">
        <v>903</v>
      </c>
      <c r="M28" s="9" t="s">
        <v>29</v>
      </c>
      <c r="N28" s="9" t="s">
        <v>653</v>
      </c>
      <c r="O28" s="9" t="s">
        <v>912</v>
      </c>
      <c r="P28" s="9">
        <v>7</v>
      </c>
      <c r="Q28" s="9"/>
      <c r="R28" s="9"/>
      <c r="S28" s="9" t="s">
        <v>32</v>
      </c>
      <c r="T28" s="9" t="s">
        <v>534</v>
      </c>
    </row>
    <row r="29" spans="1:20" ht="15.6" x14ac:dyDescent="0.3">
      <c r="A29" s="42" t="s">
        <v>908</v>
      </c>
      <c r="B29" s="42" t="s">
        <v>913</v>
      </c>
      <c r="C29" s="42" t="s">
        <v>22</v>
      </c>
      <c r="D29" s="43">
        <v>45910</v>
      </c>
      <c r="E29" s="42" t="s">
        <v>684</v>
      </c>
      <c r="F29" s="42" t="s">
        <v>695</v>
      </c>
      <c r="G29" s="42"/>
      <c r="H29" s="42" t="s">
        <v>914</v>
      </c>
      <c r="I29" s="9" t="s">
        <v>5</v>
      </c>
      <c r="J29" s="9">
        <v>1</v>
      </c>
      <c r="K29" s="9">
        <v>1</v>
      </c>
      <c r="L29" s="9" t="s">
        <v>903</v>
      </c>
      <c r="M29" s="9" t="s">
        <v>29</v>
      </c>
      <c r="N29" s="9" t="s">
        <v>915</v>
      </c>
      <c r="O29" s="9" t="s">
        <v>916</v>
      </c>
      <c r="P29" s="9">
        <v>5</v>
      </c>
      <c r="Q29" s="9"/>
      <c r="R29" s="9"/>
      <c r="S29" s="9" t="s">
        <v>32</v>
      </c>
      <c r="T29" s="9" t="s">
        <v>534</v>
      </c>
    </row>
    <row r="30" spans="1:20" ht="15.6" x14ac:dyDescent="0.3">
      <c r="A30" s="42" t="s">
        <v>908</v>
      </c>
      <c r="B30" s="42" t="s">
        <v>917</v>
      </c>
      <c r="C30" s="42" t="s">
        <v>22</v>
      </c>
      <c r="D30" s="43">
        <v>45910</v>
      </c>
      <c r="E30" s="42" t="s">
        <v>684</v>
      </c>
      <c r="F30" s="42" t="s">
        <v>695</v>
      </c>
      <c r="G30" s="42"/>
      <c r="H30" s="42" t="s">
        <v>918</v>
      </c>
      <c r="I30" s="9" t="s">
        <v>5</v>
      </c>
      <c r="J30" s="9">
        <v>1</v>
      </c>
      <c r="K30" s="9">
        <v>1</v>
      </c>
      <c r="L30" s="9" t="s">
        <v>903</v>
      </c>
      <c r="M30" s="9" t="s">
        <v>29</v>
      </c>
      <c r="N30" s="9" t="s">
        <v>919</v>
      </c>
      <c r="O30" s="9" t="s">
        <v>920</v>
      </c>
      <c r="P30" s="9">
        <v>5</v>
      </c>
      <c r="Q30" s="9"/>
      <c r="R30" s="9"/>
      <c r="S30" s="9" t="s">
        <v>32</v>
      </c>
      <c r="T30" s="9" t="s">
        <v>534</v>
      </c>
    </row>
    <row r="31" spans="1:20" ht="15.6" x14ac:dyDescent="0.3">
      <c r="A31" s="42" t="s">
        <v>908</v>
      </c>
      <c r="B31" s="42" t="s">
        <v>921</v>
      </c>
      <c r="C31" s="42" t="s">
        <v>22</v>
      </c>
      <c r="D31" s="43">
        <v>45910</v>
      </c>
      <c r="E31" s="42" t="s">
        <v>684</v>
      </c>
      <c r="F31" s="42" t="s">
        <v>652</v>
      </c>
      <c r="G31" s="42"/>
      <c r="H31" s="42" t="s">
        <v>922</v>
      </c>
      <c r="I31" s="9" t="s">
        <v>5</v>
      </c>
      <c r="J31" s="9">
        <v>1</v>
      </c>
      <c r="K31" s="9">
        <v>1</v>
      </c>
      <c r="L31" s="9" t="s">
        <v>903</v>
      </c>
      <c r="M31" s="9" t="s">
        <v>29</v>
      </c>
      <c r="N31" s="9" t="s">
        <v>923</v>
      </c>
      <c r="O31" s="9" t="s">
        <v>924</v>
      </c>
      <c r="P31" s="9" t="s">
        <v>925</v>
      </c>
      <c r="Q31" s="9"/>
      <c r="R31" s="9"/>
      <c r="S31" s="9" t="s">
        <v>32</v>
      </c>
      <c r="T31" s="9" t="s">
        <v>534</v>
      </c>
    </row>
    <row r="32" spans="1:20" ht="15.6" x14ac:dyDescent="0.3">
      <c r="A32" s="42" t="s">
        <v>908</v>
      </c>
      <c r="B32" s="42" t="s">
        <v>926</v>
      </c>
      <c r="C32" s="42" t="s">
        <v>22</v>
      </c>
      <c r="D32" s="43">
        <v>45910</v>
      </c>
      <c r="E32" s="42" t="s">
        <v>684</v>
      </c>
      <c r="F32" s="42" t="s">
        <v>927</v>
      </c>
      <c r="G32" s="42"/>
      <c r="H32" s="42" t="s">
        <v>928</v>
      </c>
      <c r="I32" s="9" t="s">
        <v>5</v>
      </c>
      <c r="J32" s="9">
        <v>2</v>
      </c>
      <c r="K32" s="9">
        <v>2</v>
      </c>
      <c r="L32" s="9" t="s">
        <v>903</v>
      </c>
      <c r="M32" s="9" t="s">
        <v>29</v>
      </c>
      <c r="N32" s="9" t="s">
        <v>929</v>
      </c>
      <c r="O32" s="9" t="s">
        <v>930</v>
      </c>
      <c r="P32" s="9">
        <v>10</v>
      </c>
      <c r="Q32" s="9"/>
      <c r="R32" s="9"/>
      <c r="S32" s="9" t="s">
        <v>32</v>
      </c>
      <c r="T32" s="9" t="s">
        <v>534</v>
      </c>
    </row>
    <row r="33" spans="1:20" ht="15.6" x14ac:dyDescent="0.3">
      <c r="A33" s="42" t="s">
        <v>991</v>
      </c>
      <c r="B33" s="42" t="s">
        <v>992</v>
      </c>
      <c r="C33" s="42" t="s">
        <v>22</v>
      </c>
      <c r="D33" s="43">
        <v>45911</v>
      </c>
      <c r="E33" s="42" t="s">
        <v>684</v>
      </c>
      <c r="F33" s="42" t="s">
        <v>954</v>
      </c>
      <c r="G33" s="42"/>
      <c r="H33" s="42" t="s">
        <v>928</v>
      </c>
      <c r="I33" s="9" t="s">
        <v>5</v>
      </c>
      <c r="J33" s="9">
        <v>2</v>
      </c>
      <c r="K33" s="9">
        <v>2</v>
      </c>
      <c r="L33" s="9" t="s">
        <v>903</v>
      </c>
      <c r="M33" s="9" t="s">
        <v>29</v>
      </c>
      <c r="N33" s="9"/>
      <c r="O33" s="9"/>
      <c r="P33" s="9">
        <v>10</v>
      </c>
      <c r="Q33" s="9"/>
      <c r="R33" s="9"/>
      <c r="S33" s="9" t="s">
        <v>32</v>
      </c>
      <c r="T33" s="9" t="s">
        <v>534</v>
      </c>
    </row>
    <row r="34" spans="1:20" ht="15.6" x14ac:dyDescent="0.3">
      <c r="A34" s="42" t="s">
        <v>991</v>
      </c>
      <c r="B34" s="42" t="s">
        <v>993</v>
      </c>
      <c r="C34" s="42" t="s">
        <v>22</v>
      </c>
      <c r="D34" s="43">
        <v>45911</v>
      </c>
      <c r="E34" s="42" t="s">
        <v>684</v>
      </c>
      <c r="F34" s="42" t="s">
        <v>910</v>
      </c>
      <c r="G34" s="42"/>
      <c r="H34" s="42" t="s">
        <v>911</v>
      </c>
      <c r="I34" s="9" t="s">
        <v>5</v>
      </c>
      <c r="J34" s="9">
        <v>1</v>
      </c>
      <c r="K34" s="9">
        <v>1</v>
      </c>
      <c r="L34" s="9" t="s">
        <v>903</v>
      </c>
      <c r="M34" s="9" t="s">
        <v>29</v>
      </c>
      <c r="N34" s="9"/>
      <c r="O34" s="9"/>
      <c r="P34" s="9">
        <v>7</v>
      </c>
      <c r="Q34" s="9"/>
      <c r="R34" s="9"/>
      <c r="S34" s="9" t="s">
        <v>32</v>
      </c>
      <c r="T34" s="9" t="s">
        <v>534</v>
      </c>
    </row>
    <row r="35" spans="1:20" ht="15.6" x14ac:dyDescent="0.3">
      <c r="A35" s="42" t="s">
        <v>991</v>
      </c>
      <c r="B35" s="42" t="s">
        <v>994</v>
      </c>
      <c r="C35" s="42" t="s">
        <v>22</v>
      </c>
      <c r="D35" s="43">
        <v>45911</v>
      </c>
      <c r="E35" s="42" t="s">
        <v>684</v>
      </c>
      <c r="F35" s="42" t="s">
        <v>652</v>
      </c>
      <c r="G35" s="42"/>
      <c r="H35" s="42" t="s">
        <v>995</v>
      </c>
      <c r="I35" s="9" t="s">
        <v>5</v>
      </c>
      <c r="J35" s="9">
        <v>1</v>
      </c>
      <c r="K35" s="9">
        <v>1</v>
      </c>
      <c r="L35" s="9" t="s">
        <v>903</v>
      </c>
      <c r="M35" s="9" t="s">
        <v>29</v>
      </c>
      <c r="N35" s="9"/>
      <c r="O35" s="9"/>
      <c r="P35" s="9" t="s">
        <v>925</v>
      </c>
      <c r="Q35" s="9"/>
      <c r="R35" s="9"/>
      <c r="S35" s="9" t="s">
        <v>32</v>
      </c>
      <c r="T35" s="9" t="s">
        <v>534</v>
      </c>
    </row>
    <row r="36" spans="1:20" ht="15.6" x14ac:dyDescent="0.3">
      <c r="A36" s="42" t="s">
        <v>991</v>
      </c>
      <c r="B36" s="42" t="s">
        <v>996</v>
      </c>
      <c r="C36" s="42" t="s">
        <v>22</v>
      </c>
      <c r="D36" s="43">
        <v>45911</v>
      </c>
      <c r="E36" s="42" t="s">
        <v>684</v>
      </c>
      <c r="F36" s="42" t="s">
        <v>542</v>
      </c>
      <c r="G36" s="42" t="s">
        <v>997</v>
      </c>
      <c r="H36" s="42" t="s">
        <v>907</v>
      </c>
      <c r="I36" s="9" t="s">
        <v>609</v>
      </c>
      <c r="J36" s="9">
        <v>1</v>
      </c>
      <c r="K36" s="9">
        <v>1</v>
      </c>
      <c r="L36" s="9" t="s">
        <v>903</v>
      </c>
      <c r="M36" s="9" t="s">
        <v>29</v>
      </c>
      <c r="N36" s="9"/>
      <c r="O36" s="9"/>
      <c r="P36" s="9">
        <v>1</v>
      </c>
      <c r="Q36" s="9"/>
      <c r="R36" s="9"/>
      <c r="S36" s="9" t="s">
        <v>32</v>
      </c>
      <c r="T36" s="9" t="s">
        <v>534</v>
      </c>
    </row>
    <row r="37" spans="1:20" x14ac:dyDescent="0.3">
      <c r="J37">
        <f>SUM(J2:J36)</f>
        <v>69</v>
      </c>
      <c r="K37">
        <f>SUM(K2:K36)</f>
        <v>69</v>
      </c>
    </row>
  </sheetData>
  <sortState xmlns:xlrd2="http://schemas.microsoft.com/office/spreadsheetml/2017/richdata2" ref="A2:T36">
    <sortCondition ref="A1:A36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E0144D-9C7F-402B-89AF-5E3D73BB5F58}">
  <dimension ref="A1:Y25"/>
  <sheetViews>
    <sheetView workbookViewId="0">
      <selection activeCell="X3" sqref="X3:Y6"/>
    </sheetView>
  </sheetViews>
  <sheetFormatPr defaultRowHeight="14.4" x14ac:dyDescent="0.3"/>
  <cols>
    <col min="1" max="1" width="8.21875" bestFit="1" customWidth="1"/>
    <col min="2" max="4" width="0" hidden="1" customWidth="1"/>
    <col min="5" max="5" width="11.44140625" bestFit="1" customWidth="1"/>
    <col min="6" max="6" width="12.33203125" bestFit="1" customWidth="1"/>
    <col min="7" max="8" width="15.77734375" bestFit="1" customWidth="1"/>
    <col min="9" max="9" width="18" bestFit="1" customWidth="1"/>
    <col min="10" max="10" width="22.5546875" bestFit="1" customWidth="1"/>
    <col min="11" max="11" width="17" bestFit="1" customWidth="1"/>
    <col min="12" max="18" width="0" hidden="1" customWidth="1"/>
    <col min="19" max="19" width="23.88671875" bestFit="1" customWidth="1"/>
    <col min="21" max="21" width="17.21875" bestFit="1" customWidth="1"/>
    <col min="22" max="22" width="6.6640625" bestFit="1" customWidth="1"/>
    <col min="24" max="24" width="17.21875" bestFit="1" customWidth="1"/>
    <col min="25" max="25" width="6.6640625" bestFit="1" customWidth="1"/>
  </cols>
  <sheetData>
    <row r="1" spans="1:25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4" t="s">
        <v>10</v>
      </c>
      <c r="J1" s="4" t="s">
        <v>11</v>
      </c>
      <c r="K1" s="4" t="s">
        <v>12</v>
      </c>
      <c r="L1" s="4" t="s">
        <v>1001</v>
      </c>
      <c r="M1" s="4" t="s">
        <v>1002</v>
      </c>
      <c r="N1" s="5" t="s">
        <v>15</v>
      </c>
      <c r="O1" s="6" t="s">
        <v>16</v>
      </c>
      <c r="P1" s="6" t="s">
        <v>17</v>
      </c>
      <c r="Q1" s="7" t="s">
        <v>18</v>
      </c>
      <c r="R1" s="8" t="s">
        <v>19</v>
      </c>
      <c r="S1" s="31" t="s">
        <v>1003</v>
      </c>
    </row>
    <row r="2" spans="1:25" ht="15.6" x14ac:dyDescent="0.3">
      <c r="A2" s="9" t="s">
        <v>1026</v>
      </c>
      <c r="B2" s="9" t="s">
        <v>1027</v>
      </c>
      <c r="C2" s="9" t="s">
        <v>22</v>
      </c>
      <c r="D2" s="10">
        <v>45909</v>
      </c>
      <c r="E2" s="9" t="s">
        <v>684</v>
      </c>
      <c r="F2" s="9" t="s">
        <v>1028</v>
      </c>
      <c r="G2" s="45" t="s">
        <v>1029</v>
      </c>
      <c r="H2" s="9" t="s">
        <v>1030</v>
      </c>
      <c r="I2" s="9">
        <v>1</v>
      </c>
      <c r="J2" s="9" t="s">
        <v>530</v>
      </c>
      <c r="K2" s="9" t="s">
        <v>29</v>
      </c>
      <c r="L2" s="9" t="s">
        <v>1031</v>
      </c>
      <c r="M2" s="9" t="s">
        <v>1032</v>
      </c>
      <c r="N2" s="9" t="s">
        <v>1012</v>
      </c>
      <c r="O2" s="9"/>
      <c r="P2" s="9"/>
      <c r="Q2" s="9" t="s">
        <v>32</v>
      </c>
      <c r="R2" s="9" t="s">
        <v>33</v>
      </c>
      <c r="S2" s="31" t="s">
        <v>1033</v>
      </c>
      <c r="U2" s="31" t="s">
        <v>680</v>
      </c>
      <c r="V2" s="31" t="s">
        <v>520</v>
      </c>
      <c r="X2" s="31" t="s">
        <v>521</v>
      </c>
      <c r="Y2" s="31" t="s">
        <v>520</v>
      </c>
    </row>
    <row r="3" spans="1:25" ht="15.6" x14ac:dyDescent="0.3">
      <c r="A3" s="9" t="s">
        <v>1026</v>
      </c>
      <c r="B3" s="9" t="s">
        <v>1034</v>
      </c>
      <c r="C3" s="9" t="s">
        <v>22</v>
      </c>
      <c r="D3" s="10">
        <v>45909</v>
      </c>
      <c r="E3" s="9" t="s">
        <v>684</v>
      </c>
      <c r="F3" s="9" t="s">
        <v>1028</v>
      </c>
      <c r="G3" s="45" t="s">
        <v>1035</v>
      </c>
      <c r="H3" s="9" t="s">
        <v>1036</v>
      </c>
      <c r="I3" s="9">
        <v>1</v>
      </c>
      <c r="J3" s="9" t="s">
        <v>530</v>
      </c>
      <c r="K3" s="9" t="s">
        <v>29</v>
      </c>
      <c r="L3" s="9" t="s">
        <v>1037</v>
      </c>
      <c r="M3" s="9" t="s">
        <v>1038</v>
      </c>
      <c r="N3" s="9" t="s">
        <v>1012</v>
      </c>
      <c r="O3" s="9"/>
      <c r="P3" s="9"/>
      <c r="Q3" s="9" t="s">
        <v>32</v>
      </c>
      <c r="R3" s="9" t="s">
        <v>33</v>
      </c>
      <c r="S3" s="31" t="s">
        <v>1039</v>
      </c>
      <c r="U3" t="str" cm="1">
        <f t="array" ref="U3:U7">_xlfn.UNIQUE(H2:H10)</f>
        <v>Red dear</v>
      </c>
      <c r="V3">
        <f>SUMIF($H$2:$H$10, U3, $I$2:$I$10)</f>
        <v>3</v>
      </c>
      <c r="X3" t="str" cm="1">
        <f t="array" ref="X3:X6">_xlfn.UNIQUE(H11:H16)</f>
        <v>Red dear</v>
      </c>
      <c r="Y3">
        <f>SUMIF($H$11:$H$16, X3, $I$11:$I$16)</f>
        <v>3</v>
      </c>
    </row>
    <row r="4" spans="1:25" ht="15.6" x14ac:dyDescent="0.3">
      <c r="A4" s="9" t="s">
        <v>1013</v>
      </c>
      <c r="B4" s="9" t="s">
        <v>1014</v>
      </c>
      <c r="C4" s="9" t="s">
        <v>1006</v>
      </c>
      <c r="D4" s="10">
        <v>45910</v>
      </c>
      <c r="E4" s="45" t="s">
        <v>1015</v>
      </c>
      <c r="F4" s="45" t="s">
        <v>1015</v>
      </c>
      <c r="G4" s="45" t="s">
        <v>1015</v>
      </c>
      <c r="H4" s="45" t="s">
        <v>1015</v>
      </c>
      <c r="I4" s="9">
        <v>0</v>
      </c>
      <c r="J4" s="45"/>
      <c r="K4" s="9" t="s">
        <v>1016</v>
      </c>
      <c r="L4" s="9" t="s">
        <v>1017</v>
      </c>
      <c r="M4" s="9" t="s">
        <v>1018</v>
      </c>
      <c r="N4" s="9" t="s">
        <v>1012</v>
      </c>
      <c r="O4" s="9"/>
      <c r="P4" s="9"/>
      <c r="Q4" s="9" t="s">
        <v>32</v>
      </c>
      <c r="R4" s="9" t="s">
        <v>33</v>
      </c>
      <c r="S4" s="31"/>
      <c r="U4" t="str">
        <v>Domestic sheep</v>
      </c>
      <c r="V4">
        <f t="shared" ref="V4:V7" si="0">SUMIF($H$2:$H$10, U4, $I$2:$I$10)</f>
        <v>2</v>
      </c>
      <c r="X4" t="str">
        <v>Red Squirrel</v>
      </c>
      <c r="Y4">
        <f t="shared" ref="Y4:Y6" si="1">SUMIF($H$11:$H$16, X4, $I$11:$I$16)</f>
        <v>1</v>
      </c>
    </row>
    <row r="5" spans="1:25" ht="15.6" x14ac:dyDescent="0.3">
      <c r="A5" s="9" t="s">
        <v>1013</v>
      </c>
      <c r="B5" s="9" t="s">
        <v>1040</v>
      </c>
      <c r="C5" s="9" t="s">
        <v>22</v>
      </c>
      <c r="D5" s="10">
        <v>45910</v>
      </c>
      <c r="E5" s="9" t="s">
        <v>684</v>
      </c>
      <c r="F5" s="9" t="s">
        <v>1028</v>
      </c>
      <c r="G5" s="45" t="s">
        <v>1029</v>
      </c>
      <c r="H5" s="9" t="s">
        <v>1030</v>
      </c>
      <c r="I5" s="9">
        <v>1</v>
      </c>
      <c r="J5" s="9" t="s">
        <v>530</v>
      </c>
      <c r="K5" s="9" t="s">
        <v>29</v>
      </c>
      <c r="L5" s="9" t="s">
        <v>1041</v>
      </c>
      <c r="M5" s="9" t="s">
        <v>1042</v>
      </c>
      <c r="N5" s="9" t="s">
        <v>1012</v>
      </c>
      <c r="O5" s="9"/>
      <c r="P5" s="9"/>
      <c r="Q5" s="9" t="s">
        <v>32</v>
      </c>
      <c r="R5" s="9" t="s">
        <v>33</v>
      </c>
      <c r="S5" s="31" t="s">
        <v>1033</v>
      </c>
      <c r="U5" t="str">
        <v>No records</v>
      </c>
      <c r="X5" t="str">
        <v>No records</v>
      </c>
    </row>
    <row r="6" spans="1:25" ht="15.6" x14ac:dyDescent="0.3">
      <c r="A6" s="9" t="s">
        <v>1013</v>
      </c>
      <c r="B6" s="9" t="s">
        <v>1043</v>
      </c>
      <c r="C6" s="9" t="s">
        <v>22</v>
      </c>
      <c r="D6" s="10">
        <v>45910</v>
      </c>
      <c r="E6" s="9" t="s">
        <v>684</v>
      </c>
      <c r="F6" s="9" t="s">
        <v>1028</v>
      </c>
      <c r="G6" s="45" t="s">
        <v>1044</v>
      </c>
      <c r="H6" s="9" t="s">
        <v>1036</v>
      </c>
      <c r="I6" s="9">
        <v>1</v>
      </c>
      <c r="J6" s="9" t="s">
        <v>530</v>
      </c>
      <c r="K6" s="9" t="s">
        <v>29</v>
      </c>
      <c r="L6" s="9" t="s">
        <v>1045</v>
      </c>
      <c r="M6" s="9" t="s">
        <v>1046</v>
      </c>
      <c r="N6" s="9" t="s">
        <v>1012</v>
      </c>
      <c r="O6" s="9"/>
      <c r="P6" s="9"/>
      <c r="Q6" s="9" t="s">
        <v>32</v>
      </c>
      <c r="R6" s="9" t="s">
        <v>33</v>
      </c>
      <c r="S6" s="31" t="s">
        <v>1039</v>
      </c>
      <c r="U6" t="str">
        <v>Badger</v>
      </c>
      <c r="V6">
        <f t="shared" si="0"/>
        <v>1</v>
      </c>
      <c r="X6" t="str">
        <v>Domestic sheep</v>
      </c>
      <c r="Y6">
        <f t="shared" si="1"/>
        <v>1</v>
      </c>
    </row>
    <row r="7" spans="1:25" ht="15.6" x14ac:dyDescent="0.3">
      <c r="A7" s="9" t="s">
        <v>1013</v>
      </c>
      <c r="B7" s="9" t="s">
        <v>1047</v>
      </c>
      <c r="C7" s="9" t="s">
        <v>22</v>
      </c>
      <c r="D7" s="10">
        <v>45911</v>
      </c>
      <c r="E7" s="9" t="s">
        <v>684</v>
      </c>
      <c r="F7" s="9" t="s">
        <v>1048</v>
      </c>
      <c r="G7" s="45" t="s">
        <v>1049</v>
      </c>
      <c r="H7" s="9" t="s">
        <v>1050</v>
      </c>
      <c r="I7" s="9">
        <v>1</v>
      </c>
      <c r="J7" s="9" t="s">
        <v>530</v>
      </c>
      <c r="K7" s="9" t="s">
        <v>29</v>
      </c>
      <c r="L7" s="9" t="s">
        <v>1051</v>
      </c>
      <c r="M7" s="9" t="s">
        <v>1052</v>
      </c>
      <c r="N7" s="9" t="s">
        <v>1012</v>
      </c>
      <c r="O7" s="9"/>
      <c r="P7" s="9"/>
      <c r="Q7" s="9" t="s">
        <v>32</v>
      </c>
      <c r="R7" s="9" t="s">
        <v>33</v>
      </c>
      <c r="S7" s="31"/>
      <c r="U7" t="str">
        <v>Red Squirrel</v>
      </c>
      <c r="V7">
        <f t="shared" si="0"/>
        <v>2</v>
      </c>
      <c r="X7">
        <v>3</v>
      </c>
      <c r="Y7">
        <f>SUM(Y3:Y6)</f>
        <v>5</v>
      </c>
    </row>
    <row r="8" spans="1:25" ht="15.6" x14ac:dyDescent="0.3">
      <c r="A8" s="9" t="s">
        <v>1022</v>
      </c>
      <c r="B8" s="9" t="s">
        <v>1023</v>
      </c>
      <c r="C8" s="9" t="s">
        <v>1006</v>
      </c>
      <c r="D8" s="10">
        <v>45910</v>
      </c>
      <c r="E8" s="45" t="s">
        <v>1015</v>
      </c>
      <c r="F8" s="45" t="s">
        <v>1015</v>
      </c>
      <c r="G8" s="45" t="s">
        <v>1015</v>
      </c>
      <c r="H8" s="45" t="s">
        <v>1015</v>
      </c>
      <c r="I8" s="9">
        <v>0</v>
      </c>
      <c r="J8" s="45"/>
      <c r="K8" s="9" t="s">
        <v>1016</v>
      </c>
      <c r="L8" s="9" t="s">
        <v>1024</v>
      </c>
      <c r="M8" s="9" t="s">
        <v>1025</v>
      </c>
      <c r="N8" s="9" t="s">
        <v>1012</v>
      </c>
      <c r="O8" s="9"/>
      <c r="P8" s="9"/>
      <c r="Q8" s="9" t="s">
        <v>32</v>
      </c>
      <c r="R8" s="9" t="s">
        <v>33</v>
      </c>
      <c r="S8" s="31"/>
      <c r="U8">
        <v>4</v>
      </c>
      <c r="V8">
        <f>SUM(V3:V7)</f>
        <v>8</v>
      </c>
    </row>
    <row r="9" spans="1:25" ht="15.6" x14ac:dyDescent="0.3">
      <c r="A9" s="9" t="s">
        <v>1022</v>
      </c>
      <c r="B9" s="9" t="s">
        <v>1053</v>
      </c>
      <c r="C9" s="9" t="s">
        <v>22</v>
      </c>
      <c r="D9" s="10">
        <v>45912</v>
      </c>
      <c r="E9" s="9" t="s">
        <v>684</v>
      </c>
      <c r="F9" s="9" t="s">
        <v>1007</v>
      </c>
      <c r="G9" s="45" t="s">
        <v>1008</v>
      </c>
      <c r="H9" s="9" t="s">
        <v>1009</v>
      </c>
      <c r="I9" s="9">
        <v>2</v>
      </c>
      <c r="J9" s="9" t="s">
        <v>530</v>
      </c>
      <c r="K9" s="9" t="s">
        <v>29</v>
      </c>
      <c r="L9" s="9" t="s">
        <v>1054</v>
      </c>
      <c r="M9" s="9" t="s">
        <v>1055</v>
      </c>
      <c r="N9" s="9" t="s">
        <v>1012</v>
      </c>
      <c r="O9" s="9"/>
      <c r="P9" s="9"/>
      <c r="Q9" s="9" t="s">
        <v>32</v>
      </c>
      <c r="R9" s="9" t="s">
        <v>33</v>
      </c>
      <c r="S9" s="31"/>
    </row>
    <row r="10" spans="1:25" ht="15.6" x14ac:dyDescent="0.3">
      <c r="A10" s="9" t="s">
        <v>1022</v>
      </c>
      <c r="B10" s="9" t="s">
        <v>1056</v>
      </c>
      <c r="C10" s="9" t="s">
        <v>22</v>
      </c>
      <c r="D10" s="10">
        <v>45912</v>
      </c>
      <c r="E10" s="9" t="s">
        <v>684</v>
      </c>
      <c r="F10" s="9" t="s">
        <v>1028</v>
      </c>
      <c r="G10" s="45" t="s">
        <v>1029</v>
      </c>
      <c r="H10" s="9" t="s">
        <v>1030</v>
      </c>
      <c r="I10" s="9">
        <v>1</v>
      </c>
      <c r="J10" s="9" t="s">
        <v>530</v>
      </c>
      <c r="K10" s="9" t="s">
        <v>29</v>
      </c>
      <c r="L10" s="9" t="s">
        <v>1057</v>
      </c>
      <c r="M10" s="9" t="s">
        <v>1058</v>
      </c>
      <c r="N10" s="9" t="s">
        <v>1012</v>
      </c>
      <c r="O10" s="9"/>
      <c r="P10" s="9"/>
      <c r="Q10" s="9" t="s">
        <v>32</v>
      </c>
      <c r="R10" s="9" t="s">
        <v>33</v>
      </c>
      <c r="S10" s="31" t="s">
        <v>1033</v>
      </c>
    </row>
    <row r="11" spans="1:25" ht="15.6" x14ac:dyDescent="0.3">
      <c r="A11" s="9" t="s">
        <v>1059</v>
      </c>
      <c r="B11" s="9" t="s">
        <v>1060</v>
      </c>
      <c r="C11" s="9" t="s">
        <v>22</v>
      </c>
      <c r="D11" s="10">
        <v>45911</v>
      </c>
      <c r="E11" s="9" t="s">
        <v>684</v>
      </c>
      <c r="F11" s="9" t="s">
        <v>1028</v>
      </c>
      <c r="G11" s="45" t="s">
        <v>1029</v>
      </c>
      <c r="H11" s="9" t="s">
        <v>1030</v>
      </c>
      <c r="I11" s="9">
        <v>1</v>
      </c>
      <c r="J11" s="9" t="s">
        <v>1061</v>
      </c>
      <c r="K11" s="9" t="s">
        <v>29</v>
      </c>
      <c r="L11" s="9" t="s">
        <v>1062</v>
      </c>
      <c r="M11" s="9" t="s">
        <v>1063</v>
      </c>
      <c r="N11" s="9" t="s">
        <v>1012</v>
      </c>
      <c r="O11" s="9"/>
      <c r="P11" s="9"/>
      <c r="Q11" s="9" t="s">
        <v>32</v>
      </c>
      <c r="R11" s="9" t="s">
        <v>33</v>
      </c>
      <c r="S11" s="31" t="s">
        <v>1064</v>
      </c>
    </row>
    <row r="12" spans="1:25" ht="15.6" x14ac:dyDescent="0.3">
      <c r="A12" s="9" t="s">
        <v>1065</v>
      </c>
      <c r="B12" s="9" t="s">
        <v>1066</v>
      </c>
      <c r="C12" s="9" t="s">
        <v>22</v>
      </c>
      <c r="D12" s="10">
        <v>45910</v>
      </c>
      <c r="E12" s="9" t="s">
        <v>684</v>
      </c>
      <c r="F12" s="9" t="s">
        <v>1028</v>
      </c>
      <c r="G12" s="45" t="s">
        <v>1029</v>
      </c>
      <c r="H12" s="9" t="s">
        <v>1030</v>
      </c>
      <c r="I12" s="9">
        <v>1</v>
      </c>
      <c r="J12" s="9" t="s">
        <v>530</v>
      </c>
      <c r="K12" s="9" t="s">
        <v>29</v>
      </c>
      <c r="L12" s="9" t="s">
        <v>1067</v>
      </c>
      <c r="M12" s="9" t="s">
        <v>1068</v>
      </c>
      <c r="N12" s="9" t="s">
        <v>1012</v>
      </c>
      <c r="O12" s="9"/>
      <c r="P12" s="9"/>
      <c r="Q12" s="9" t="s">
        <v>32</v>
      </c>
      <c r="R12" s="9" t="s">
        <v>33</v>
      </c>
      <c r="S12" s="31" t="s">
        <v>1039</v>
      </c>
    </row>
    <row r="13" spans="1:25" ht="15.6" x14ac:dyDescent="0.3">
      <c r="A13" s="9" t="s">
        <v>1004</v>
      </c>
      <c r="B13" s="9" t="s">
        <v>1005</v>
      </c>
      <c r="C13" s="9" t="s">
        <v>1006</v>
      </c>
      <c r="D13" s="10">
        <v>45911</v>
      </c>
      <c r="E13" s="9" t="s">
        <v>684</v>
      </c>
      <c r="F13" s="9" t="s">
        <v>1007</v>
      </c>
      <c r="G13" s="45" t="s">
        <v>1008</v>
      </c>
      <c r="H13" s="9" t="s">
        <v>1009</v>
      </c>
      <c r="I13" s="9">
        <v>1</v>
      </c>
      <c r="J13" s="9" t="s">
        <v>530</v>
      </c>
      <c r="K13" s="9" t="s">
        <v>29</v>
      </c>
      <c r="L13" s="9" t="s">
        <v>1010</v>
      </c>
      <c r="M13" s="9" t="s">
        <v>1011</v>
      </c>
      <c r="N13" s="9" t="s">
        <v>1012</v>
      </c>
      <c r="O13" s="9"/>
      <c r="P13" s="9"/>
      <c r="Q13" s="9" t="s">
        <v>32</v>
      </c>
      <c r="R13" s="9" t="s">
        <v>33</v>
      </c>
      <c r="S13" s="31"/>
    </row>
    <row r="14" spans="1:25" ht="15.6" x14ac:dyDescent="0.3">
      <c r="A14" s="9" t="s">
        <v>1004</v>
      </c>
      <c r="B14" s="9" t="s">
        <v>1019</v>
      </c>
      <c r="C14" s="9" t="s">
        <v>1006</v>
      </c>
      <c r="D14" s="10">
        <v>45910</v>
      </c>
      <c r="E14" s="45" t="s">
        <v>1015</v>
      </c>
      <c r="F14" s="45" t="s">
        <v>1015</v>
      </c>
      <c r="G14" s="45" t="s">
        <v>1015</v>
      </c>
      <c r="H14" s="45" t="s">
        <v>1015</v>
      </c>
      <c r="I14" s="9">
        <v>0</v>
      </c>
      <c r="J14" s="45"/>
      <c r="K14" s="9" t="s">
        <v>1016</v>
      </c>
      <c r="L14" s="9" t="s">
        <v>1020</v>
      </c>
      <c r="M14" s="9" t="s">
        <v>1021</v>
      </c>
      <c r="N14" s="9" t="s">
        <v>1012</v>
      </c>
      <c r="O14" s="9"/>
      <c r="P14" s="9"/>
      <c r="Q14" s="9" t="s">
        <v>32</v>
      </c>
      <c r="R14" s="9" t="s">
        <v>33</v>
      </c>
      <c r="S14" s="31"/>
    </row>
    <row r="15" spans="1:25" ht="15.6" x14ac:dyDescent="0.3">
      <c r="A15" s="9" t="s">
        <v>1004</v>
      </c>
      <c r="B15" s="9" t="s">
        <v>1069</v>
      </c>
      <c r="C15" s="9" t="s">
        <v>22</v>
      </c>
      <c r="D15" s="10">
        <v>45912</v>
      </c>
      <c r="E15" s="9" t="s">
        <v>684</v>
      </c>
      <c r="F15" s="9" t="s">
        <v>1028</v>
      </c>
      <c r="G15" s="45" t="s">
        <v>1044</v>
      </c>
      <c r="H15" s="9" t="s">
        <v>1036</v>
      </c>
      <c r="I15" s="9">
        <v>1</v>
      </c>
      <c r="J15" s="9" t="s">
        <v>530</v>
      </c>
      <c r="K15" s="9" t="s">
        <v>29</v>
      </c>
      <c r="L15" s="9" t="s">
        <v>1070</v>
      </c>
      <c r="M15" s="9" t="s">
        <v>1071</v>
      </c>
      <c r="N15" s="9" t="s">
        <v>1012</v>
      </c>
      <c r="O15" s="9"/>
      <c r="P15" s="9"/>
      <c r="Q15" s="9" t="s">
        <v>32</v>
      </c>
      <c r="R15" s="9" t="s">
        <v>33</v>
      </c>
      <c r="S15" s="31" t="s">
        <v>1033</v>
      </c>
    </row>
    <row r="16" spans="1:25" ht="15.6" x14ac:dyDescent="0.3">
      <c r="A16" s="9" t="s">
        <v>1004</v>
      </c>
      <c r="B16" s="9" t="s">
        <v>1069</v>
      </c>
      <c r="C16" s="9" t="s">
        <v>22</v>
      </c>
      <c r="D16" s="10">
        <v>45912</v>
      </c>
      <c r="E16" s="9" t="s">
        <v>684</v>
      </c>
      <c r="F16" s="9" t="s">
        <v>1028</v>
      </c>
      <c r="G16" s="45" t="s">
        <v>1029</v>
      </c>
      <c r="H16" s="9" t="s">
        <v>1030</v>
      </c>
      <c r="I16" s="9">
        <v>1</v>
      </c>
      <c r="J16" s="9" t="s">
        <v>530</v>
      </c>
      <c r="K16" s="9" t="s">
        <v>29</v>
      </c>
      <c r="L16" s="9" t="s">
        <v>1072</v>
      </c>
      <c r="M16" s="9" t="s">
        <v>1073</v>
      </c>
      <c r="N16" s="9" t="s">
        <v>1012</v>
      </c>
      <c r="O16" s="9"/>
      <c r="P16" s="9"/>
      <c r="Q16" s="9" t="s">
        <v>32</v>
      </c>
      <c r="R16" s="9" t="s">
        <v>33</v>
      </c>
      <c r="S16" s="31" t="s">
        <v>1033</v>
      </c>
    </row>
    <row r="17" spans="1:19" ht="15.6" x14ac:dyDescent="0.3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</row>
    <row r="18" spans="1:19" ht="15.6" x14ac:dyDescent="0.3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</row>
    <row r="19" spans="1:19" ht="15.6" x14ac:dyDescent="0.3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</row>
    <row r="20" spans="1:19" ht="15.6" x14ac:dyDescent="0.3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</row>
    <row r="21" spans="1:19" ht="15.6" x14ac:dyDescent="0.3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</row>
    <row r="22" spans="1:19" ht="15.6" x14ac:dyDescent="0.3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</row>
    <row r="23" spans="1:19" ht="15.6" x14ac:dyDescent="0.3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</row>
    <row r="24" spans="1:19" ht="15.6" x14ac:dyDescent="0.3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</row>
    <row r="25" spans="1:19" ht="15.6" x14ac:dyDescent="0.3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</row>
  </sheetData>
  <sortState xmlns:xlrd2="http://schemas.microsoft.com/office/spreadsheetml/2017/richdata2" ref="A2:S25">
    <sortCondition ref="A1:A25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CCB350-CED1-4B8F-86C3-BA3039F8AB6E}">
  <dimension ref="A1:AE44"/>
  <sheetViews>
    <sheetView topLeftCell="J1" workbookViewId="0">
      <selection activeCell="AA7" sqref="AA7"/>
    </sheetView>
  </sheetViews>
  <sheetFormatPr defaultRowHeight="14.4" x14ac:dyDescent="0.3"/>
  <cols>
    <col min="1" max="1" width="9.77734375" bestFit="1" customWidth="1"/>
    <col min="2" max="4" width="0" hidden="1" customWidth="1"/>
    <col min="5" max="5" width="9.21875" bestFit="1" customWidth="1"/>
    <col min="6" max="6" width="11" bestFit="1" customWidth="1"/>
    <col min="7" max="7" width="23.33203125" bestFit="1" customWidth="1"/>
    <col min="8" max="8" width="19.5546875" bestFit="1" customWidth="1"/>
    <col min="9" max="9" width="12.6640625" bestFit="1" customWidth="1"/>
    <col min="10" max="10" width="16" bestFit="1" customWidth="1"/>
    <col min="11" max="11" width="18" bestFit="1" customWidth="1"/>
    <col min="12" max="12" width="22.5546875" bestFit="1" customWidth="1"/>
    <col min="13" max="13" width="17" bestFit="1" customWidth="1"/>
    <col min="14" max="20" width="0" hidden="1" customWidth="1"/>
    <col min="22" max="22" width="17.33203125" bestFit="1" customWidth="1"/>
    <col min="23" max="23" width="16.21875" bestFit="1" customWidth="1"/>
    <col min="24" max="24" width="6.6640625" bestFit="1" customWidth="1"/>
    <col min="25" max="25" width="3" bestFit="1" customWidth="1"/>
    <col min="27" max="27" width="19.44140625" bestFit="1" customWidth="1"/>
    <col min="28" max="28" width="14.21875" bestFit="1" customWidth="1"/>
    <col min="29" max="29" width="6.6640625" bestFit="1" customWidth="1"/>
    <col min="30" max="30" width="3" bestFit="1" customWidth="1"/>
  </cols>
  <sheetData>
    <row r="1" spans="1:31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5" t="s">
        <v>15</v>
      </c>
      <c r="Q1" s="6" t="s">
        <v>16</v>
      </c>
      <c r="R1" s="6" t="s">
        <v>17</v>
      </c>
      <c r="S1" s="7" t="s">
        <v>18</v>
      </c>
      <c r="T1" s="8" t="s">
        <v>19</v>
      </c>
      <c r="U1" s="9"/>
    </row>
    <row r="2" spans="1:31" ht="15.6" x14ac:dyDescent="0.3">
      <c r="A2" s="9" t="s">
        <v>1074</v>
      </c>
      <c r="B2" s="9" t="s">
        <v>1075</v>
      </c>
      <c r="C2" s="9" t="s">
        <v>22</v>
      </c>
      <c r="D2" s="10">
        <v>45910</v>
      </c>
      <c r="E2" s="9" t="s">
        <v>684</v>
      </c>
      <c r="F2" s="9" t="s">
        <v>1076</v>
      </c>
      <c r="G2" s="9" t="s">
        <v>1077</v>
      </c>
      <c r="H2" s="9" t="s">
        <v>1078</v>
      </c>
      <c r="I2" s="9" t="s">
        <v>27</v>
      </c>
      <c r="J2" s="9">
        <v>6</v>
      </c>
      <c r="K2" s="9">
        <v>6</v>
      </c>
      <c r="L2" s="9" t="s">
        <v>530</v>
      </c>
      <c r="M2" s="9" t="s">
        <v>29</v>
      </c>
      <c r="N2" s="9"/>
      <c r="O2" s="9"/>
      <c r="P2" s="9" t="s">
        <v>1079</v>
      </c>
      <c r="Q2" s="9"/>
      <c r="R2" s="9"/>
      <c r="S2" s="9" t="s">
        <v>32</v>
      </c>
      <c r="T2" s="9" t="s">
        <v>33</v>
      </c>
      <c r="U2" s="9"/>
      <c r="V2" t="s">
        <v>680</v>
      </c>
      <c r="W2" s="31"/>
      <c r="X2" s="31" t="s">
        <v>520</v>
      </c>
      <c r="AA2" t="s">
        <v>521</v>
      </c>
      <c r="AB2" s="31"/>
      <c r="AC2" s="31" t="s">
        <v>520</v>
      </c>
    </row>
    <row r="3" spans="1:31" ht="15.6" x14ac:dyDescent="0.3">
      <c r="A3" s="9" t="s">
        <v>1144</v>
      </c>
      <c r="B3" s="9" t="s">
        <v>1145</v>
      </c>
      <c r="C3" s="9" t="s">
        <v>22</v>
      </c>
      <c r="D3" s="10">
        <v>45910</v>
      </c>
      <c r="E3" s="9" t="s">
        <v>684</v>
      </c>
      <c r="F3" s="9" t="s">
        <v>1076</v>
      </c>
      <c r="G3" s="9" t="s">
        <v>1114</v>
      </c>
      <c r="H3" s="9" t="s">
        <v>1115</v>
      </c>
      <c r="I3" s="9" t="s">
        <v>27</v>
      </c>
      <c r="J3" s="9">
        <v>2</v>
      </c>
      <c r="K3" s="9">
        <v>2</v>
      </c>
      <c r="L3" s="9" t="s">
        <v>1089</v>
      </c>
      <c r="M3" s="9" t="s">
        <v>29</v>
      </c>
      <c r="N3" s="9"/>
      <c r="O3" s="9"/>
      <c r="P3" s="9"/>
      <c r="Q3" s="9"/>
      <c r="R3" s="9"/>
      <c r="S3" s="9"/>
      <c r="T3" s="9"/>
      <c r="U3" s="9"/>
      <c r="V3" t="str" cm="1">
        <f t="array" ref="V3:V16">_xlfn.UNIQUE(G2:G27)</f>
        <v>Anthus pratensis</v>
      </c>
      <c r="W3" t="str" cm="1">
        <f t="array" ref="W3:W16">_xlfn.UNIQUE(H2:H27)</f>
        <v>Meadow pipit</v>
      </c>
      <c r="X3">
        <f>SUMIF($G$2:$G$27, V3, $J$2:$J$27)</f>
        <v>6</v>
      </c>
      <c r="Y3">
        <f>SUMIF($H$2:$H$27, W3, $J$2:$J$27)</f>
        <v>6</v>
      </c>
      <c r="AA3" t="str" cm="1">
        <f t="array" ref="AA3:AA13">_xlfn.UNIQUE(G28:G44)</f>
        <v>Aquila chrysaetos</v>
      </c>
      <c r="AB3" t="str" cm="1">
        <f t="array" ref="AB3:AB13">_xlfn.UNIQUE(H28:H44)</f>
        <v>Golden eagle</v>
      </c>
      <c r="AC3">
        <f>SUMIF($G$28:$G$44, AA3, $J$28:$J$44)</f>
        <v>2</v>
      </c>
      <c r="AD3">
        <f>SUMIF($H$28:$H$44, AB3, $J$28:$J$44)</f>
        <v>2</v>
      </c>
    </row>
    <row r="4" spans="1:31" ht="15.6" x14ac:dyDescent="0.3">
      <c r="A4" s="9" t="s">
        <v>1144</v>
      </c>
      <c r="B4" s="9" t="s">
        <v>1146</v>
      </c>
      <c r="C4" s="9" t="s">
        <v>22</v>
      </c>
      <c r="D4" s="10">
        <v>45910</v>
      </c>
      <c r="E4" s="9" t="s">
        <v>684</v>
      </c>
      <c r="F4" s="9" t="s">
        <v>1076</v>
      </c>
      <c r="G4" s="9" t="s">
        <v>1114</v>
      </c>
      <c r="H4" s="9" t="s">
        <v>1115</v>
      </c>
      <c r="I4" s="9" t="s">
        <v>27</v>
      </c>
      <c r="J4" s="9">
        <v>1</v>
      </c>
      <c r="K4" s="9">
        <v>1</v>
      </c>
      <c r="L4" s="9" t="s">
        <v>530</v>
      </c>
      <c r="M4" s="9" t="s">
        <v>29</v>
      </c>
      <c r="N4" s="9"/>
      <c r="O4" s="9"/>
      <c r="P4" s="9"/>
      <c r="Q4" s="9"/>
      <c r="R4" s="9"/>
      <c r="S4" s="9"/>
      <c r="T4" s="9"/>
      <c r="U4" s="9"/>
      <c r="V4" t="str">
        <v>Aquila chrysaetos</v>
      </c>
      <c r="W4" t="str">
        <v>Golden eagle</v>
      </c>
      <c r="X4">
        <f t="shared" ref="X4:X16" si="0">SUMIF($G$2:$G$27, V4, $J$2:$J$27)</f>
        <v>4</v>
      </c>
      <c r="Y4">
        <f t="shared" ref="Y4:Y16" si="1">SUMIF($H$2:$H$27, W4, $J$2:$J$27)</f>
        <v>4</v>
      </c>
      <c r="AA4" t="str">
        <v>Corvus corax</v>
      </c>
      <c r="AB4" t="str">
        <v>Common raven</v>
      </c>
      <c r="AC4">
        <f t="shared" ref="AC4:AC13" si="2">SUMIF($G$28:$G$44, AA4, $J$28:$J$44)</f>
        <v>4</v>
      </c>
      <c r="AD4">
        <f t="shared" ref="AD4:AD13" si="3">SUMIF($H$28:$H$44, AB4, $J$28:$J$44)</f>
        <v>4</v>
      </c>
    </row>
    <row r="5" spans="1:31" ht="15.6" x14ac:dyDescent="0.3">
      <c r="A5" s="9" t="s">
        <v>1112</v>
      </c>
      <c r="B5" s="9" t="s">
        <v>1113</v>
      </c>
      <c r="C5" s="9" t="s">
        <v>22</v>
      </c>
      <c r="D5" s="10">
        <v>45911</v>
      </c>
      <c r="E5" s="9" t="s">
        <v>684</v>
      </c>
      <c r="F5" s="9" t="s">
        <v>1076</v>
      </c>
      <c r="G5" s="9" t="s">
        <v>1114</v>
      </c>
      <c r="H5" s="9" t="s">
        <v>1115</v>
      </c>
      <c r="I5" s="9" t="s">
        <v>27</v>
      </c>
      <c r="J5" s="9">
        <v>1</v>
      </c>
      <c r="K5" s="9">
        <v>1</v>
      </c>
      <c r="L5" s="9" t="s">
        <v>530</v>
      </c>
      <c r="M5" s="9" t="s">
        <v>29</v>
      </c>
      <c r="N5" s="9"/>
      <c r="O5" s="9"/>
      <c r="P5" s="9"/>
      <c r="Q5" s="9"/>
      <c r="R5" s="9"/>
      <c r="S5" s="9"/>
      <c r="T5" s="9"/>
      <c r="U5" s="9"/>
      <c r="V5" t="str">
        <v>Corvus corone</v>
      </c>
      <c r="W5" t="str">
        <v>Carrion crow</v>
      </c>
      <c r="X5">
        <f t="shared" si="0"/>
        <v>2</v>
      </c>
      <c r="Y5">
        <f t="shared" si="1"/>
        <v>2</v>
      </c>
      <c r="AA5" t="str">
        <v>Anthus pratensis</v>
      </c>
      <c r="AB5" t="str">
        <v>Meadow pipit</v>
      </c>
      <c r="AC5">
        <f t="shared" si="2"/>
        <v>9</v>
      </c>
      <c r="AD5">
        <f t="shared" si="3"/>
        <v>9</v>
      </c>
    </row>
    <row r="6" spans="1:31" ht="15.6" x14ac:dyDescent="0.3">
      <c r="A6" s="9" t="s">
        <v>1112</v>
      </c>
      <c r="B6" s="9" t="s">
        <v>1116</v>
      </c>
      <c r="C6" s="9" t="s">
        <v>22</v>
      </c>
      <c r="D6" s="10">
        <v>45911</v>
      </c>
      <c r="E6" s="9" t="s">
        <v>684</v>
      </c>
      <c r="F6" s="9" t="s">
        <v>1076</v>
      </c>
      <c r="G6" s="9" t="s">
        <v>1117</v>
      </c>
      <c r="H6" s="9" t="s">
        <v>1118</v>
      </c>
      <c r="I6" s="9" t="s">
        <v>27</v>
      </c>
      <c r="J6" s="9">
        <v>2</v>
      </c>
      <c r="K6" s="9">
        <v>2</v>
      </c>
      <c r="L6" s="9" t="s">
        <v>1089</v>
      </c>
      <c r="M6" s="9" t="s">
        <v>29</v>
      </c>
      <c r="N6" s="9"/>
      <c r="O6" s="9"/>
      <c r="P6" s="9"/>
      <c r="Q6" s="9"/>
      <c r="R6" s="9"/>
      <c r="S6" s="9"/>
      <c r="T6" s="9"/>
      <c r="U6" s="9"/>
      <c r="V6" t="str">
        <v>Turdus philomelos</v>
      </c>
      <c r="W6" t="str">
        <v>Song thrush</v>
      </c>
      <c r="X6">
        <f t="shared" si="0"/>
        <v>3</v>
      </c>
      <c r="Y6">
        <f t="shared" si="1"/>
        <v>3</v>
      </c>
      <c r="AA6" t="str">
        <v>Certhia familiaris</v>
      </c>
      <c r="AB6" t="str">
        <v>Treecreeper</v>
      </c>
      <c r="AC6">
        <f t="shared" si="2"/>
        <v>1</v>
      </c>
      <c r="AD6">
        <f t="shared" si="3"/>
        <v>1</v>
      </c>
    </row>
    <row r="7" spans="1:31" ht="15.6" x14ac:dyDescent="0.3">
      <c r="A7" s="9" t="s">
        <v>1112</v>
      </c>
      <c r="B7" s="9" t="s">
        <v>1119</v>
      </c>
      <c r="C7" s="9" t="s">
        <v>22</v>
      </c>
      <c r="D7" s="10">
        <v>45911</v>
      </c>
      <c r="E7" s="9" t="s">
        <v>684</v>
      </c>
      <c r="F7" s="9" t="s">
        <v>1076</v>
      </c>
      <c r="G7" s="9" t="s">
        <v>1120</v>
      </c>
      <c r="H7" s="9" t="s">
        <v>1121</v>
      </c>
      <c r="I7" s="9" t="s">
        <v>27</v>
      </c>
      <c r="J7" s="9">
        <v>3</v>
      </c>
      <c r="K7" s="9">
        <v>3</v>
      </c>
      <c r="L7" s="9" t="s">
        <v>1089</v>
      </c>
      <c r="M7" s="9" t="s">
        <v>29</v>
      </c>
      <c r="N7" s="9"/>
      <c r="O7" s="9"/>
      <c r="P7" s="9"/>
      <c r="Q7" s="9"/>
      <c r="R7" s="9"/>
      <c r="S7" s="9"/>
      <c r="T7" s="9"/>
      <c r="U7" s="9"/>
      <c r="V7" t="str">
        <v>Unidentified</v>
      </c>
      <c r="W7">
        <v>0</v>
      </c>
      <c r="X7">
        <v>1</v>
      </c>
      <c r="Y7">
        <v>1</v>
      </c>
      <c r="AA7" t="str">
        <v>Troglodytes troglodytes</v>
      </c>
      <c r="AB7" t="str">
        <v>Eurasion wren</v>
      </c>
      <c r="AC7">
        <f t="shared" si="2"/>
        <v>5</v>
      </c>
      <c r="AD7">
        <f t="shared" si="3"/>
        <v>5</v>
      </c>
    </row>
    <row r="8" spans="1:31" ht="15.6" x14ac:dyDescent="0.3">
      <c r="A8" s="9" t="s">
        <v>1112</v>
      </c>
      <c r="B8" s="9" t="s">
        <v>1122</v>
      </c>
      <c r="C8" s="9" t="s">
        <v>22</v>
      </c>
      <c r="D8" s="10">
        <v>45911</v>
      </c>
      <c r="E8" s="9" t="s">
        <v>684</v>
      </c>
      <c r="F8" s="9" t="s">
        <v>1076</v>
      </c>
      <c r="G8" s="9" t="s">
        <v>1123</v>
      </c>
      <c r="H8" s="9"/>
      <c r="I8" s="9" t="s">
        <v>1123</v>
      </c>
      <c r="J8" s="9">
        <v>1</v>
      </c>
      <c r="K8" s="9">
        <v>1</v>
      </c>
      <c r="L8" s="9" t="s">
        <v>530</v>
      </c>
      <c r="M8" s="9" t="s">
        <v>29</v>
      </c>
      <c r="N8" s="9"/>
      <c r="O8" s="9"/>
      <c r="P8" s="9"/>
      <c r="Q8" s="9"/>
      <c r="R8" s="9"/>
      <c r="S8" s="9"/>
      <c r="T8" s="9"/>
      <c r="U8" s="9"/>
      <c r="V8" t="str">
        <v>Alauda arvensis</v>
      </c>
      <c r="W8" t="str">
        <v>Skylark</v>
      </c>
      <c r="X8">
        <f t="shared" si="0"/>
        <v>3</v>
      </c>
      <c r="Y8">
        <f t="shared" si="1"/>
        <v>3</v>
      </c>
      <c r="AA8" t="str">
        <v>Aegithalos caudatus</v>
      </c>
      <c r="AB8" t="str">
        <v>Long tailed tit</v>
      </c>
      <c r="AC8">
        <f t="shared" si="2"/>
        <v>1</v>
      </c>
      <c r="AD8">
        <f t="shared" si="3"/>
        <v>1</v>
      </c>
    </row>
    <row r="9" spans="1:31" ht="15.6" x14ac:dyDescent="0.3">
      <c r="A9" s="9" t="s">
        <v>1112</v>
      </c>
      <c r="B9" s="9" t="s">
        <v>1124</v>
      </c>
      <c r="C9" s="9" t="s">
        <v>22</v>
      </c>
      <c r="D9" s="10">
        <v>45911</v>
      </c>
      <c r="E9" s="9" t="s">
        <v>684</v>
      </c>
      <c r="F9" s="9" t="s">
        <v>1076</v>
      </c>
      <c r="G9" s="9" t="s">
        <v>1125</v>
      </c>
      <c r="H9" s="9" t="s">
        <v>1126</v>
      </c>
      <c r="I9" s="9" t="s">
        <v>27</v>
      </c>
      <c r="J9" s="9">
        <v>2</v>
      </c>
      <c r="K9" s="9">
        <v>2</v>
      </c>
      <c r="L9" s="9" t="s">
        <v>1089</v>
      </c>
      <c r="M9" s="9" t="s">
        <v>29</v>
      </c>
      <c r="N9" s="9"/>
      <c r="O9" s="9"/>
      <c r="P9" s="9"/>
      <c r="Q9" s="9"/>
      <c r="R9" s="9"/>
      <c r="S9" s="9"/>
      <c r="T9" s="9"/>
      <c r="U9" s="9"/>
      <c r="V9" t="str">
        <v>Columba palumbus</v>
      </c>
      <c r="W9" t="str">
        <v>Wood pigeon</v>
      </c>
      <c r="X9">
        <f t="shared" si="0"/>
        <v>16</v>
      </c>
      <c r="Y9">
        <f t="shared" si="1"/>
        <v>16</v>
      </c>
      <c r="AA9" t="str">
        <v>Falco tinnunculus</v>
      </c>
      <c r="AB9" t="str">
        <v>Common kestrel</v>
      </c>
      <c r="AC9">
        <f t="shared" si="2"/>
        <v>1</v>
      </c>
      <c r="AD9">
        <f t="shared" si="3"/>
        <v>1</v>
      </c>
    </row>
    <row r="10" spans="1:31" ht="15.6" x14ac:dyDescent="0.3">
      <c r="A10" s="9" t="s">
        <v>1085</v>
      </c>
      <c r="B10" s="9" t="s">
        <v>1086</v>
      </c>
      <c r="C10" s="9" t="s">
        <v>22</v>
      </c>
      <c r="D10" s="10">
        <v>45912</v>
      </c>
      <c r="E10" s="9" t="s">
        <v>684</v>
      </c>
      <c r="F10" s="9" t="s">
        <v>1076</v>
      </c>
      <c r="G10" s="9" t="s">
        <v>1087</v>
      </c>
      <c r="H10" s="9" t="s">
        <v>1088</v>
      </c>
      <c r="I10" s="9" t="s">
        <v>27</v>
      </c>
      <c r="J10" s="9">
        <v>3</v>
      </c>
      <c r="K10" s="9">
        <v>3</v>
      </c>
      <c r="L10" s="9" t="s">
        <v>1089</v>
      </c>
      <c r="M10" s="9" t="s">
        <v>29</v>
      </c>
      <c r="N10" s="9"/>
      <c r="O10" s="9"/>
      <c r="P10" s="9"/>
      <c r="Q10" s="9"/>
      <c r="R10" s="9"/>
      <c r="S10" s="9" t="s">
        <v>1084</v>
      </c>
      <c r="T10" s="9" t="s">
        <v>33</v>
      </c>
      <c r="U10" s="9"/>
      <c r="V10" t="str">
        <v>Motacilla alba</v>
      </c>
      <c r="W10" t="str">
        <v>Pied wagtail</v>
      </c>
      <c r="X10">
        <f t="shared" si="0"/>
        <v>1</v>
      </c>
      <c r="Y10">
        <f t="shared" si="1"/>
        <v>1</v>
      </c>
      <c r="AA10" t="str">
        <v>Erithacus rubecula</v>
      </c>
      <c r="AB10" t="str">
        <v>European robin</v>
      </c>
      <c r="AC10">
        <f t="shared" si="2"/>
        <v>1</v>
      </c>
      <c r="AD10">
        <f t="shared" si="3"/>
        <v>1</v>
      </c>
    </row>
    <row r="11" spans="1:31" ht="15.6" x14ac:dyDescent="0.3">
      <c r="A11" s="9" t="s">
        <v>1085</v>
      </c>
      <c r="B11" s="9" t="s">
        <v>1090</v>
      </c>
      <c r="C11" s="9" t="s">
        <v>22</v>
      </c>
      <c r="D11" s="10">
        <v>45912</v>
      </c>
      <c r="E11" s="9" t="s">
        <v>684</v>
      </c>
      <c r="F11" s="9" t="s">
        <v>1076</v>
      </c>
      <c r="G11" s="9" t="s">
        <v>1087</v>
      </c>
      <c r="H11" s="9" t="s">
        <v>1088</v>
      </c>
      <c r="I11" s="9" t="s">
        <v>27</v>
      </c>
      <c r="J11" s="9">
        <v>4</v>
      </c>
      <c r="K11" s="9">
        <v>4</v>
      </c>
      <c r="L11" s="9" t="s">
        <v>1089</v>
      </c>
      <c r="M11" s="9" t="s">
        <v>29</v>
      </c>
      <c r="N11" s="9"/>
      <c r="O11" s="9"/>
      <c r="P11" s="9"/>
      <c r="Q11" s="9"/>
      <c r="R11" s="9"/>
      <c r="S11" s="9" t="s">
        <v>1084</v>
      </c>
      <c r="T11" s="9" t="s">
        <v>33</v>
      </c>
      <c r="U11" s="9"/>
      <c r="V11" t="str">
        <v>Erithacus rubecula</v>
      </c>
      <c r="W11" t="str">
        <v>European robin</v>
      </c>
      <c r="X11">
        <f t="shared" si="0"/>
        <v>1</v>
      </c>
      <c r="Y11">
        <f t="shared" si="1"/>
        <v>1</v>
      </c>
      <c r="AA11" t="str">
        <v>Columba palumbus</v>
      </c>
      <c r="AB11" t="str">
        <v>Wood pigeon</v>
      </c>
      <c r="AC11">
        <f t="shared" si="2"/>
        <v>5</v>
      </c>
      <c r="AD11">
        <f t="shared" si="3"/>
        <v>5</v>
      </c>
    </row>
    <row r="12" spans="1:31" ht="15.6" x14ac:dyDescent="0.3">
      <c r="A12" s="9" t="s">
        <v>1085</v>
      </c>
      <c r="B12" s="9" t="s">
        <v>1091</v>
      </c>
      <c r="C12" s="9" t="s">
        <v>22</v>
      </c>
      <c r="D12" s="10">
        <v>45912</v>
      </c>
      <c r="E12" s="9" t="s">
        <v>684</v>
      </c>
      <c r="F12" s="9" t="s">
        <v>1076</v>
      </c>
      <c r="G12" s="9" t="s">
        <v>1087</v>
      </c>
      <c r="H12" s="9" t="s">
        <v>1088</v>
      </c>
      <c r="I12" s="9" t="s">
        <v>27</v>
      </c>
      <c r="J12" s="9">
        <v>2</v>
      </c>
      <c r="K12" s="9">
        <v>2</v>
      </c>
      <c r="L12" s="9" t="s">
        <v>1089</v>
      </c>
      <c r="M12" s="9" t="s">
        <v>29</v>
      </c>
      <c r="N12" s="9"/>
      <c r="O12" s="9"/>
      <c r="P12" s="9"/>
      <c r="Q12" s="9"/>
      <c r="R12" s="9"/>
      <c r="S12" s="9" t="s">
        <v>1084</v>
      </c>
      <c r="T12" s="9" t="s">
        <v>33</v>
      </c>
      <c r="U12" s="9"/>
      <c r="V12" t="str">
        <v>Cyanistes caeruleus</v>
      </c>
      <c r="W12" t="str">
        <v>Blue tit</v>
      </c>
      <c r="X12">
        <f t="shared" si="0"/>
        <v>1</v>
      </c>
      <c r="Y12">
        <f t="shared" si="1"/>
        <v>1</v>
      </c>
      <c r="AA12" t="str">
        <v>Turdus philomelos</v>
      </c>
      <c r="AB12" t="str">
        <v>Song thrush</v>
      </c>
      <c r="AC12">
        <f t="shared" si="2"/>
        <v>1</v>
      </c>
      <c r="AD12">
        <f t="shared" si="3"/>
        <v>1</v>
      </c>
    </row>
    <row r="13" spans="1:31" ht="15.6" x14ac:dyDescent="0.3">
      <c r="A13" s="9" t="s">
        <v>1085</v>
      </c>
      <c r="B13" s="9" t="s">
        <v>1092</v>
      </c>
      <c r="C13" s="9" t="s">
        <v>22</v>
      </c>
      <c r="D13" s="10">
        <v>45912</v>
      </c>
      <c r="E13" s="9" t="s">
        <v>684</v>
      </c>
      <c r="F13" s="9" t="s">
        <v>1076</v>
      </c>
      <c r="G13" s="9" t="s">
        <v>1087</v>
      </c>
      <c r="H13" s="9" t="s">
        <v>1088</v>
      </c>
      <c r="I13" s="9" t="s">
        <v>27</v>
      </c>
      <c r="J13" s="9">
        <v>1</v>
      </c>
      <c r="K13" s="9">
        <v>1</v>
      </c>
      <c r="L13" s="9" t="s">
        <v>530</v>
      </c>
      <c r="M13" s="9" t="s">
        <v>29</v>
      </c>
      <c r="N13" s="9"/>
      <c r="O13" s="9"/>
      <c r="P13" s="9"/>
      <c r="Q13" s="9"/>
      <c r="R13" s="9"/>
      <c r="S13" s="9" t="s">
        <v>1084</v>
      </c>
      <c r="T13" s="9" t="s">
        <v>33</v>
      </c>
      <c r="U13" s="9"/>
      <c r="V13" t="str">
        <v>Coloeus monedula</v>
      </c>
      <c r="W13" t="str">
        <v>Western jackdaw</v>
      </c>
      <c r="X13">
        <f t="shared" si="0"/>
        <v>16</v>
      </c>
      <c r="Y13">
        <f t="shared" si="1"/>
        <v>16</v>
      </c>
      <c r="AA13">
        <v>0</v>
      </c>
      <c r="AB13" t="str">
        <v>Nest</v>
      </c>
      <c r="AC13">
        <f t="shared" si="2"/>
        <v>0</v>
      </c>
      <c r="AD13">
        <f t="shared" si="3"/>
        <v>3</v>
      </c>
      <c r="AE13" t="s">
        <v>1123</v>
      </c>
    </row>
    <row r="14" spans="1:31" ht="15.6" x14ac:dyDescent="0.3">
      <c r="A14" s="9" t="s">
        <v>1085</v>
      </c>
      <c r="B14" s="9" t="s">
        <v>1093</v>
      </c>
      <c r="C14" s="9" t="s">
        <v>22</v>
      </c>
      <c r="D14" s="10">
        <v>45912</v>
      </c>
      <c r="E14" s="9" t="s">
        <v>684</v>
      </c>
      <c r="F14" s="9" t="s">
        <v>1076</v>
      </c>
      <c r="G14" s="9" t="s">
        <v>1087</v>
      </c>
      <c r="H14" s="9" t="s">
        <v>1088</v>
      </c>
      <c r="I14" s="9" t="s">
        <v>27</v>
      </c>
      <c r="J14" s="9">
        <v>1</v>
      </c>
      <c r="K14" s="9">
        <v>1</v>
      </c>
      <c r="L14" s="9" t="s">
        <v>530</v>
      </c>
      <c r="M14" s="9" t="s">
        <v>29</v>
      </c>
      <c r="N14" s="9"/>
      <c r="O14" s="9"/>
      <c r="P14" s="9"/>
      <c r="Q14" s="9"/>
      <c r="R14" s="9"/>
      <c r="S14" s="9" t="s">
        <v>1084</v>
      </c>
      <c r="T14" s="9" t="s">
        <v>33</v>
      </c>
      <c r="U14" s="9"/>
      <c r="V14" t="str">
        <v>Turdus spp</v>
      </c>
      <c r="W14" t="str">
        <v>Unidentified thrush</v>
      </c>
      <c r="X14">
        <f t="shared" si="0"/>
        <v>1</v>
      </c>
      <c r="Y14">
        <f t="shared" si="1"/>
        <v>1</v>
      </c>
      <c r="AA14">
        <f>COUNTA(_xlfn.ANCHORARRAY(AA3))</f>
        <v>11</v>
      </c>
      <c r="AB14">
        <v>10</v>
      </c>
      <c r="AC14">
        <f>SUM(AC3:AC13)</f>
        <v>30</v>
      </c>
      <c r="AD14">
        <f>SUM(AD3:AD13)</f>
        <v>33</v>
      </c>
    </row>
    <row r="15" spans="1:31" ht="15.6" x14ac:dyDescent="0.3">
      <c r="A15" s="9" t="s">
        <v>1085</v>
      </c>
      <c r="B15" s="9" t="s">
        <v>1094</v>
      </c>
      <c r="C15" s="9" t="s">
        <v>22</v>
      </c>
      <c r="D15" s="10">
        <v>45912</v>
      </c>
      <c r="E15" s="9" t="s">
        <v>684</v>
      </c>
      <c r="F15" s="9" t="s">
        <v>1076</v>
      </c>
      <c r="G15" s="9" t="s">
        <v>1087</v>
      </c>
      <c r="H15" s="9" t="s">
        <v>1088</v>
      </c>
      <c r="I15" s="9" t="s">
        <v>27</v>
      </c>
      <c r="J15" s="9">
        <v>1</v>
      </c>
      <c r="K15" s="9">
        <v>1</v>
      </c>
      <c r="L15" s="9" t="s">
        <v>530</v>
      </c>
      <c r="M15" s="9" t="s">
        <v>29</v>
      </c>
      <c r="N15" s="9"/>
      <c r="O15" s="9"/>
      <c r="P15" s="9"/>
      <c r="Q15" s="9"/>
      <c r="R15" s="9"/>
      <c r="S15" s="9" t="s">
        <v>1084</v>
      </c>
      <c r="T15" s="9" t="s">
        <v>33</v>
      </c>
      <c r="U15" s="9"/>
      <c r="V15" t="str">
        <v>Periparus ater</v>
      </c>
      <c r="W15" t="str">
        <v>Coal tit</v>
      </c>
      <c r="X15">
        <f t="shared" si="0"/>
        <v>1</v>
      </c>
      <c r="Y15">
        <f t="shared" si="1"/>
        <v>1</v>
      </c>
    </row>
    <row r="16" spans="1:31" ht="15.6" x14ac:dyDescent="0.3">
      <c r="A16" s="9" t="s">
        <v>1085</v>
      </c>
      <c r="B16" s="9" t="s">
        <v>1095</v>
      </c>
      <c r="C16" s="9" t="s">
        <v>22</v>
      </c>
      <c r="D16" s="10">
        <v>45912</v>
      </c>
      <c r="E16" s="9" t="s">
        <v>684</v>
      </c>
      <c r="F16" s="9" t="s">
        <v>1076</v>
      </c>
      <c r="G16" s="9" t="s">
        <v>1087</v>
      </c>
      <c r="H16" s="9" t="s">
        <v>1088</v>
      </c>
      <c r="I16" s="9" t="s">
        <v>27</v>
      </c>
      <c r="J16" s="9">
        <v>1</v>
      </c>
      <c r="K16" s="9">
        <v>1</v>
      </c>
      <c r="L16" s="9" t="s">
        <v>530</v>
      </c>
      <c r="M16" s="9" t="s">
        <v>29</v>
      </c>
      <c r="N16" s="9"/>
      <c r="O16" s="9"/>
      <c r="P16" s="9"/>
      <c r="Q16" s="9"/>
      <c r="R16" s="9"/>
      <c r="S16" s="9" t="s">
        <v>1084</v>
      </c>
      <c r="T16" s="9" t="s">
        <v>33</v>
      </c>
      <c r="U16" s="9"/>
      <c r="V16" t="str">
        <v>Falco tinnunculus</v>
      </c>
      <c r="W16" t="str">
        <v>Common kestrel</v>
      </c>
      <c r="X16">
        <f t="shared" si="0"/>
        <v>1</v>
      </c>
      <c r="Y16">
        <f t="shared" si="1"/>
        <v>1</v>
      </c>
    </row>
    <row r="17" spans="1:25" ht="15.6" x14ac:dyDescent="0.3">
      <c r="A17" s="9" t="s">
        <v>1085</v>
      </c>
      <c r="B17" s="9" t="s">
        <v>1096</v>
      </c>
      <c r="C17" s="9" t="s">
        <v>22</v>
      </c>
      <c r="D17" s="10">
        <v>45912</v>
      </c>
      <c r="E17" s="9" t="s">
        <v>684</v>
      </c>
      <c r="F17" s="9" t="s">
        <v>1076</v>
      </c>
      <c r="G17" s="9" t="s">
        <v>1087</v>
      </c>
      <c r="H17" s="9" t="s">
        <v>1088</v>
      </c>
      <c r="I17" s="9" t="s">
        <v>27</v>
      </c>
      <c r="J17" s="9">
        <v>1</v>
      </c>
      <c r="K17" s="9">
        <v>1</v>
      </c>
      <c r="L17" s="9" t="s">
        <v>530</v>
      </c>
      <c r="M17" s="9" t="s">
        <v>29</v>
      </c>
      <c r="N17" s="9"/>
      <c r="O17" s="9"/>
      <c r="P17" s="9"/>
      <c r="Q17" s="9"/>
      <c r="R17" s="9"/>
      <c r="S17" s="9" t="s">
        <v>1084</v>
      </c>
      <c r="T17" s="9" t="s">
        <v>33</v>
      </c>
      <c r="U17" s="9"/>
      <c r="V17">
        <f>COUNTA(_xlfn.ANCHORARRAY(V3))</f>
        <v>14</v>
      </c>
      <c r="W17">
        <v>13</v>
      </c>
      <c r="X17">
        <f>SUM(X3:X16)</f>
        <v>57</v>
      </c>
      <c r="Y17">
        <f>SUM(Y3:Y16)</f>
        <v>57</v>
      </c>
    </row>
    <row r="18" spans="1:25" ht="15.6" x14ac:dyDescent="0.3">
      <c r="A18" s="9" t="s">
        <v>1085</v>
      </c>
      <c r="B18" s="9" t="s">
        <v>1097</v>
      </c>
      <c r="C18" s="9" t="s">
        <v>22</v>
      </c>
      <c r="D18" s="10">
        <v>45912</v>
      </c>
      <c r="E18" s="9" t="s">
        <v>684</v>
      </c>
      <c r="F18" s="9" t="s">
        <v>1076</v>
      </c>
      <c r="G18" s="9" t="s">
        <v>1087</v>
      </c>
      <c r="H18" s="9" t="s">
        <v>1088</v>
      </c>
      <c r="I18" s="9" t="s">
        <v>27</v>
      </c>
      <c r="J18" s="9">
        <v>2</v>
      </c>
      <c r="K18" s="9">
        <v>2</v>
      </c>
      <c r="L18" s="9" t="s">
        <v>1089</v>
      </c>
      <c r="M18" s="9" t="s">
        <v>29</v>
      </c>
      <c r="N18" s="9"/>
      <c r="O18" s="9"/>
      <c r="P18" s="9"/>
      <c r="Q18" s="9"/>
      <c r="R18" s="9"/>
      <c r="S18" s="9" t="s">
        <v>1084</v>
      </c>
      <c r="T18" s="9" t="s">
        <v>33</v>
      </c>
      <c r="U18" s="9"/>
      <c r="V18" t="s">
        <v>1162</v>
      </c>
    </row>
    <row r="19" spans="1:25" ht="15.6" x14ac:dyDescent="0.3">
      <c r="A19" s="9" t="s">
        <v>1085</v>
      </c>
      <c r="B19" s="9" t="s">
        <v>1097</v>
      </c>
      <c r="C19" s="9" t="s">
        <v>22</v>
      </c>
      <c r="D19" s="10">
        <v>45912</v>
      </c>
      <c r="E19" s="9" t="s">
        <v>684</v>
      </c>
      <c r="F19" s="9" t="s">
        <v>1076</v>
      </c>
      <c r="G19" s="9" t="s">
        <v>1098</v>
      </c>
      <c r="H19" s="9" t="s">
        <v>1099</v>
      </c>
      <c r="I19" s="9" t="s">
        <v>27</v>
      </c>
      <c r="J19" s="9">
        <v>1</v>
      </c>
      <c r="K19" s="9">
        <v>1</v>
      </c>
      <c r="L19" s="9" t="s">
        <v>530</v>
      </c>
      <c r="M19" s="9" t="s">
        <v>29</v>
      </c>
      <c r="N19" s="9"/>
      <c r="O19" s="9"/>
      <c r="P19" s="9"/>
      <c r="Q19" s="9"/>
      <c r="R19" s="9"/>
      <c r="S19" s="9"/>
      <c r="T19" s="9"/>
      <c r="U19" s="9"/>
    </row>
    <row r="20" spans="1:25" ht="15.6" x14ac:dyDescent="0.3">
      <c r="A20" s="9" t="s">
        <v>1085</v>
      </c>
      <c r="B20" s="9" t="s">
        <v>1097</v>
      </c>
      <c r="C20" s="9" t="s">
        <v>22</v>
      </c>
      <c r="D20" s="10">
        <v>45912</v>
      </c>
      <c r="E20" s="9" t="s">
        <v>684</v>
      </c>
      <c r="F20" s="9" t="s">
        <v>1076</v>
      </c>
      <c r="G20" s="9" t="s">
        <v>1100</v>
      </c>
      <c r="H20" s="9" t="s">
        <v>1101</v>
      </c>
      <c r="I20" s="9" t="s">
        <v>27</v>
      </c>
      <c r="J20" s="9">
        <v>1</v>
      </c>
      <c r="K20" s="9">
        <v>1</v>
      </c>
      <c r="L20" s="9" t="s">
        <v>530</v>
      </c>
      <c r="M20" s="9" t="s">
        <v>29</v>
      </c>
      <c r="N20" s="9"/>
      <c r="O20" s="9"/>
      <c r="P20" s="9"/>
      <c r="Q20" s="9"/>
      <c r="R20" s="9"/>
      <c r="S20" s="9"/>
      <c r="T20" s="9"/>
      <c r="U20" s="9"/>
    </row>
    <row r="21" spans="1:25" ht="15.6" x14ac:dyDescent="0.3">
      <c r="A21" s="9" t="s">
        <v>1085</v>
      </c>
      <c r="B21" s="9" t="s">
        <v>1097</v>
      </c>
      <c r="C21" s="9" t="s">
        <v>22</v>
      </c>
      <c r="D21" s="10">
        <v>45912</v>
      </c>
      <c r="E21" s="9" t="s">
        <v>684</v>
      </c>
      <c r="F21" s="9" t="s">
        <v>1076</v>
      </c>
      <c r="G21" s="46" t="s">
        <v>1102</v>
      </c>
      <c r="H21" s="9" t="s">
        <v>1103</v>
      </c>
      <c r="I21" s="9" t="s">
        <v>27</v>
      </c>
      <c r="J21" s="9">
        <v>1</v>
      </c>
      <c r="K21" s="9">
        <v>1</v>
      </c>
      <c r="L21" s="9" t="s">
        <v>530</v>
      </c>
      <c r="M21" s="9" t="s">
        <v>29</v>
      </c>
      <c r="N21" s="9"/>
      <c r="O21" s="9"/>
      <c r="P21" s="9"/>
      <c r="Q21" s="9"/>
      <c r="R21" s="9"/>
      <c r="S21" s="9"/>
      <c r="T21" s="9"/>
      <c r="U21" s="9"/>
    </row>
    <row r="22" spans="1:25" ht="15.6" x14ac:dyDescent="0.3">
      <c r="A22" s="9" t="s">
        <v>1085</v>
      </c>
      <c r="B22" s="9" t="s">
        <v>1097</v>
      </c>
      <c r="C22" s="9" t="s">
        <v>22</v>
      </c>
      <c r="D22" s="10">
        <v>45912</v>
      </c>
      <c r="E22" s="9" t="s">
        <v>684</v>
      </c>
      <c r="F22" s="9" t="s">
        <v>1076</v>
      </c>
      <c r="G22" s="9" t="s">
        <v>1104</v>
      </c>
      <c r="H22" s="9" t="s">
        <v>1105</v>
      </c>
      <c r="I22" s="9" t="s">
        <v>27</v>
      </c>
      <c r="J22" s="9">
        <v>15</v>
      </c>
      <c r="K22" s="9">
        <v>15</v>
      </c>
      <c r="L22" s="9" t="s">
        <v>1089</v>
      </c>
      <c r="M22" s="9" t="s">
        <v>29</v>
      </c>
      <c r="N22" s="9"/>
      <c r="O22" s="9"/>
      <c r="P22" s="9"/>
      <c r="Q22" s="9"/>
      <c r="R22" s="9"/>
      <c r="S22" s="9"/>
      <c r="T22" s="9"/>
      <c r="U22" s="9"/>
    </row>
    <row r="23" spans="1:25" ht="15.6" x14ac:dyDescent="0.3">
      <c r="A23" s="9" t="s">
        <v>1085</v>
      </c>
      <c r="B23" s="9" t="s">
        <v>1097</v>
      </c>
      <c r="C23" s="9" t="s">
        <v>22</v>
      </c>
      <c r="D23" s="10">
        <v>45912</v>
      </c>
      <c r="E23" s="9" t="s">
        <v>684</v>
      </c>
      <c r="F23" s="9" t="s">
        <v>1076</v>
      </c>
      <c r="G23" s="9" t="s">
        <v>1106</v>
      </c>
      <c r="H23" s="9" t="s">
        <v>1107</v>
      </c>
      <c r="I23" s="9" t="s">
        <v>309</v>
      </c>
      <c r="J23" s="9">
        <v>1</v>
      </c>
      <c r="K23" s="9">
        <v>1</v>
      </c>
      <c r="L23" s="9" t="s">
        <v>1089</v>
      </c>
      <c r="M23" s="9" t="s">
        <v>29</v>
      </c>
      <c r="N23" s="9"/>
      <c r="O23" s="9"/>
      <c r="P23" s="9"/>
      <c r="Q23" s="9"/>
      <c r="R23" s="9"/>
      <c r="S23" s="9"/>
      <c r="T23" s="9"/>
      <c r="U23" s="9"/>
    </row>
    <row r="24" spans="1:25" ht="15.6" x14ac:dyDescent="0.3">
      <c r="A24" s="9" t="s">
        <v>1085</v>
      </c>
      <c r="B24" s="9" t="s">
        <v>1097</v>
      </c>
      <c r="C24" s="9" t="s">
        <v>22</v>
      </c>
      <c r="D24" s="10">
        <v>45912</v>
      </c>
      <c r="E24" s="9" t="s">
        <v>684</v>
      </c>
      <c r="F24" s="9" t="s">
        <v>1076</v>
      </c>
      <c r="G24" s="9" t="s">
        <v>1108</v>
      </c>
      <c r="H24" s="9" t="s">
        <v>1109</v>
      </c>
      <c r="I24" s="9" t="s">
        <v>27</v>
      </c>
      <c r="J24" s="9">
        <v>1</v>
      </c>
      <c r="K24" s="9">
        <v>1</v>
      </c>
      <c r="L24" s="9" t="s">
        <v>1089</v>
      </c>
      <c r="M24" s="9" t="s">
        <v>29</v>
      </c>
      <c r="N24" s="9"/>
      <c r="O24" s="9"/>
      <c r="P24" s="9"/>
      <c r="Q24" s="9"/>
      <c r="R24" s="9"/>
      <c r="S24" s="9"/>
      <c r="T24" s="9"/>
      <c r="U24" s="9"/>
    </row>
    <row r="25" spans="1:25" ht="15.6" x14ac:dyDescent="0.3">
      <c r="A25" s="9" t="s">
        <v>1110</v>
      </c>
      <c r="B25" s="9" t="s">
        <v>1111</v>
      </c>
      <c r="C25" s="9" t="s">
        <v>22</v>
      </c>
      <c r="D25" s="10">
        <v>45912</v>
      </c>
      <c r="E25" s="9" t="s">
        <v>684</v>
      </c>
      <c r="F25" s="9" t="s">
        <v>1076</v>
      </c>
      <c r="G25" s="9" t="s">
        <v>1104</v>
      </c>
      <c r="H25" s="9" t="s">
        <v>1105</v>
      </c>
      <c r="I25" s="9" t="s">
        <v>27</v>
      </c>
      <c r="J25" s="9">
        <v>1</v>
      </c>
      <c r="K25" s="9">
        <v>1</v>
      </c>
      <c r="L25" s="9" t="s">
        <v>530</v>
      </c>
      <c r="M25" s="9" t="s">
        <v>29</v>
      </c>
      <c r="N25" s="9"/>
      <c r="O25" s="9"/>
      <c r="P25" s="9"/>
      <c r="Q25" s="9"/>
      <c r="R25" s="9"/>
      <c r="S25" s="9"/>
      <c r="T25" s="9"/>
      <c r="U25" s="9"/>
    </row>
    <row r="26" spans="1:25" ht="15.6" x14ac:dyDescent="0.3">
      <c r="A26" s="9" t="s">
        <v>1134</v>
      </c>
      <c r="B26" s="9" t="s">
        <v>1135</v>
      </c>
      <c r="C26" s="9" t="s">
        <v>22</v>
      </c>
      <c r="D26" s="10">
        <v>45911</v>
      </c>
      <c r="E26" s="9" t="s">
        <v>684</v>
      </c>
      <c r="F26" s="9" t="s">
        <v>1076</v>
      </c>
      <c r="G26" s="9" t="s">
        <v>1125</v>
      </c>
      <c r="H26" s="9" t="s">
        <v>1126</v>
      </c>
      <c r="I26" s="9" t="s">
        <v>27</v>
      </c>
      <c r="J26" s="9">
        <v>1</v>
      </c>
      <c r="K26" s="9">
        <v>1</v>
      </c>
      <c r="L26" s="9" t="s">
        <v>530</v>
      </c>
      <c r="M26" s="9" t="s">
        <v>29</v>
      </c>
      <c r="N26" s="9"/>
      <c r="O26" s="9"/>
      <c r="P26" s="9"/>
      <c r="Q26" s="9"/>
      <c r="R26" s="9"/>
      <c r="S26" s="9"/>
      <c r="T26" s="9"/>
      <c r="U26" s="9"/>
    </row>
    <row r="27" spans="1:25" ht="15.6" x14ac:dyDescent="0.3">
      <c r="A27" s="9" t="s">
        <v>1134</v>
      </c>
      <c r="B27" s="9" t="s">
        <v>1136</v>
      </c>
      <c r="C27" s="9" t="s">
        <v>22</v>
      </c>
      <c r="D27" s="10">
        <v>45911</v>
      </c>
      <c r="E27" s="9" t="s">
        <v>684</v>
      </c>
      <c r="F27" s="9" t="s">
        <v>1076</v>
      </c>
      <c r="G27" s="9" t="s">
        <v>1082</v>
      </c>
      <c r="H27" s="9" t="s">
        <v>1083</v>
      </c>
      <c r="I27" s="9" t="s">
        <v>27</v>
      </c>
      <c r="J27" s="9">
        <v>1</v>
      </c>
      <c r="K27" s="9">
        <v>1</v>
      </c>
      <c r="L27" s="9" t="s">
        <v>530</v>
      </c>
      <c r="M27" s="9" t="s">
        <v>29</v>
      </c>
      <c r="N27" s="9"/>
      <c r="O27" s="9"/>
      <c r="P27" s="9"/>
      <c r="Q27" s="9"/>
      <c r="R27" s="9"/>
      <c r="S27" s="9"/>
      <c r="T27" s="9"/>
      <c r="U27" s="9"/>
    </row>
    <row r="28" spans="1:25" ht="15.6" x14ac:dyDescent="0.3">
      <c r="A28" s="9" t="s">
        <v>1147</v>
      </c>
      <c r="B28" s="9" t="s">
        <v>1148</v>
      </c>
      <c r="C28" s="9" t="s">
        <v>22</v>
      </c>
      <c r="D28" s="10">
        <v>45910</v>
      </c>
      <c r="E28" s="9" t="s">
        <v>684</v>
      </c>
      <c r="F28" s="9" t="s">
        <v>1076</v>
      </c>
      <c r="G28" s="9" t="s">
        <v>1114</v>
      </c>
      <c r="H28" s="9" t="s">
        <v>1115</v>
      </c>
      <c r="I28" s="9" t="s">
        <v>27</v>
      </c>
      <c r="J28" s="9">
        <v>1</v>
      </c>
      <c r="K28" s="9">
        <v>1</v>
      </c>
      <c r="L28" s="9" t="s">
        <v>530</v>
      </c>
      <c r="M28" s="9" t="s">
        <v>29</v>
      </c>
      <c r="N28" s="9"/>
      <c r="O28" s="9"/>
      <c r="P28" s="9"/>
      <c r="Q28" s="9"/>
      <c r="R28" s="9"/>
      <c r="S28" s="9"/>
      <c r="T28" s="9"/>
      <c r="U28" s="9"/>
    </row>
    <row r="29" spans="1:25" ht="15.6" x14ac:dyDescent="0.3">
      <c r="A29" s="9" t="s">
        <v>1147</v>
      </c>
      <c r="B29" s="9" t="s">
        <v>1149</v>
      </c>
      <c r="C29" s="9" t="s">
        <v>22</v>
      </c>
      <c r="D29" s="10">
        <v>45910</v>
      </c>
      <c r="E29" s="9" t="s">
        <v>684</v>
      </c>
      <c r="F29" s="9" t="s">
        <v>1076</v>
      </c>
      <c r="G29" s="9" t="s">
        <v>1131</v>
      </c>
      <c r="H29" s="9" t="s">
        <v>1132</v>
      </c>
      <c r="I29" s="9" t="s">
        <v>27</v>
      </c>
      <c r="J29" s="9">
        <v>2</v>
      </c>
      <c r="K29" s="9">
        <v>2</v>
      </c>
      <c r="L29" s="9" t="s">
        <v>1089</v>
      </c>
      <c r="M29" s="9" t="s">
        <v>29</v>
      </c>
      <c r="N29" s="9"/>
      <c r="O29" s="9"/>
      <c r="P29" s="9"/>
      <c r="Q29" s="9"/>
      <c r="R29" s="9"/>
      <c r="S29" s="9"/>
      <c r="T29" s="9"/>
      <c r="U29" s="9"/>
    </row>
    <row r="30" spans="1:25" ht="15.6" x14ac:dyDescent="0.3">
      <c r="A30" s="9" t="s">
        <v>1147</v>
      </c>
      <c r="B30" s="9" t="s">
        <v>1150</v>
      </c>
      <c r="C30" s="9" t="s">
        <v>22</v>
      </c>
      <c r="D30" s="10">
        <v>45910</v>
      </c>
      <c r="E30" s="9" t="s">
        <v>684</v>
      </c>
      <c r="F30" s="9" t="s">
        <v>1076</v>
      </c>
      <c r="G30" s="9" t="s">
        <v>1077</v>
      </c>
      <c r="H30" s="9" t="s">
        <v>1078</v>
      </c>
      <c r="I30" s="9" t="s">
        <v>27</v>
      </c>
      <c r="J30" s="9">
        <v>2</v>
      </c>
      <c r="K30" s="9">
        <v>2</v>
      </c>
      <c r="L30" s="9" t="s">
        <v>1089</v>
      </c>
      <c r="M30" s="9" t="s">
        <v>29</v>
      </c>
      <c r="N30" s="9"/>
      <c r="O30" s="9"/>
      <c r="P30" s="9"/>
      <c r="Q30" s="9"/>
      <c r="R30" s="9"/>
      <c r="S30" s="9"/>
      <c r="T30" s="9"/>
      <c r="U30" s="9"/>
    </row>
    <row r="31" spans="1:25" ht="15.6" x14ac:dyDescent="0.3">
      <c r="A31" s="9" t="s">
        <v>1147</v>
      </c>
      <c r="B31" s="9" t="s">
        <v>1151</v>
      </c>
      <c r="C31" s="9" t="s">
        <v>22</v>
      </c>
      <c r="D31" s="10">
        <v>45910</v>
      </c>
      <c r="E31" s="9" t="s">
        <v>684</v>
      </c>
      <c r="F31" s="9" t="s">
        <v>1076</v>
      </c>
      <c r="G31" s="9" t="s">
        <v>1152</v>
      </c>
      <c r="H31" s="9" t="s">
        <v>1153</v>
      </c>
      <c r="I31" s="9" t="s">
        <v>27</v>
      </c>
      <c r="J31" s="9">
        <v>1</v>
      </c>
      <c r="K31" s="9">
        <v>1</v>
      </c>
      <c r="L31" s="9" t="s">
        <v>530</v>
      </c>
      <c r="M31" s="9" t="s">
        <v>29</v>
      </c>
      <c r="N31" s="9"/>
      <c r="O31" s="9"/>
      <c r="P31" s="9"/>
      <c r="Q31" s="9"/>
      <c r="R31" s="9"/>
      <c r="S31" s="9"/>
      <c r="T31" s="9"/>
      <c r="U31" s="9"/>
    </row>
    <row r="32" spans="1:25" ht="15.6" x14ac:dyDescent="0.3">
      <c r="A32" s="9" t="s">
        <v>1147</v>
      </c>
      <c r="B32" s="9" t="s">
        <v>1154</v>
      </c>
      <c r="C32" s="9" t="s">
        <v>22</v>
      </c>
      <c r="D32" s="10">
        <v>45910</v>
      </c>
      <c r="E32" s="9" t="s">
        <v>684</v>
      </c>
      <c r="F32" s="9" t="s">
        <v>1076</v>
      </c>
      <c r="G32" s="9" t="s">
        <v>1141</v>
      </c>
      <c r="H32" s="9" t="s">
        <v>1142</v>
      </c>
      <c r="I32" s="9" t="s">
        <v>27</v>
      </c>
      <c r="J32" s="9">
        <v>2</v>
      </c>
      <c r="K32" s="9">
        <v>2</v>
      </c>
      <c r="L32" s="9" t="s">
        <v>1089</v>
      </c>
      <c r="M32" s="9" t="s">
        <v>29</v>
      </c>
      <c r="N32" s="9"/>
      <c r="O32" s="9"/>
      <c r="P32" s="9"/>
      <c r="Q32" s="9"/>
      <c r="R32" s="9"/>
      <c r="S32" s="9"/>
      <c r="T32" s="9"/>
      <c r="U32" s="9"/>
    </row>
    <row r="33" spans="1:21" ht="15.6" x14ac:dyDescent="0.3">
      <c r="A33" s="9" t="s">
        <v>1147</v>
      </c>
      <c r="B33" s="9" t="s">
        <v>1155</v>
      </c>
      <c r="C33" s="9" t="s">
        <v>22</v>
      </c>
      <c r="D33" s="10">
        <v>45910</v>
      </c>
      <c r="E33" s="9" t="s">
        <v>684</v>
      </c>
      <c r="F33" s="9" t="s">
        <v>1076</v>
      </c>
      <c r="G33" s="9" t="s">
        <v>1156</v>
      </c>
      <c r="H33" s="9" t="s">
        <v>1157</v>
      </c>
      <c r="I33" s="9" t="s">
        <v>27</v>
      </c>
      <c r="J33" s="9">
        <v>1</v>
      </c>
      <c r="K33" s="9">
        <v>1</v>
      </c>
      <c r="L33" s="9" t="s">
        <v>530</v>
      </c>
      <c r="M33" s="9" t="s">
        <v>29</v>
      </c>
      <c r="N33" s="9"/>
      <c r="O33" s="9"/>
      <c r="P33" s="9"/>
      <c r="Q33" s="9"/>
      <c r="R33" s="9"/>
      <c r="S33" s="9"/>
      <c r="T33" s="9"/>
      <c r="U33" s="9"/>
    </row>
    <row r="34" spans="1:21" ht="15.6" x14ac:dyDescent="0.3">
      <c r="A34" s="9" t="s">
        <v>1080</v>
      </c>
      <c r="B34" s="9" t="s">
        <v>1081</v>
      </c>
      <c r="C34" s="9" t="s">
        <v>22</v>
      </c>
      <c r="D34" s="10">
        <v>45911</v>
      </c>
      <c r="E34" s="9" t="s">
        <v>684</v>
      </c>
      <c r="F34" s="9" t="s">
        <v>1076</v>
      </c>
      <c r="G34" s="9" t="s">
        <v>1082</v>
      </c>
      <c r="H34" s="9" t="s">
        <v>1083</v>
      </c>
      <c r="I34" s="9" t="s">
        <v>27</v>
      </c>
      <c r="J34" s="9">
        <v>1</v>
      </c>
      <c r="K34" s="9">
        <v>1</v>
      </c>
      <c r="L34" s="9" t="s">
        <v>530</v>
      </c>
      <c r="M34" s="9" t="s">
        <v>29</v>
      </c>
      <c r="N34" s="9"/>
      <c r="O34" s="9"/>
      <c r="P34" s="9"/>
      <c r="Q34" s="9"/>
      <c r="R34" s="9"/>
      <c r="S34" s="9" t="s">
        <v>1084</v>
      </c>
      <c r="T34" s="9" t="s">
        <v>33</v>
      </c>
      <c r="U34" s="9"/>
    </row>
    <row r="35" spans="1:21" ht="15.6" x14ac:dyDescent="0.3">
      <c r="A35" s="9" t="s">
        <v>1137</v>
      </c>
      <c r="B35" s="9" t="s">
        <v>1138</v>
      </c>
      <c r="C35" s="9" t="s">
        <v>22</v>
      </c>
      <c r="D35" s="10">
        <v>45911</v>
      </c>
      <c r="E35" s="9" t="s">
        <v>684</v>
      </c>
      <c r="F35" s="9" t="s">
        <v>1076</v>
      </c>
      <c r="G35" s="9" t="s">
        <v>1114</v>
      </c>
      <c r="H35" s="9" t="s">
        <v>1115</v>
      </c>
      <c r="I35" s="9" t="s">
        <v>27</v>
      </c>
      <c r="J35" s="9">
        <v>1</v>
      </c>
      <c r="K35" s="9">
        <v>1</v>
      </c>
      <c r="L35" s="9" t="s">
        <v>530</v>
      </c>
      <c r="M35" s="9" t="s">
        <v>29</v>
      </c>
      <c r="N35" s="9"/>
      <c r="O35" s="9"/>
      <c r="P35" s="9"/>
      <c r="Q35" s="9"/>
      <c r="R35" s="9"/>
      <c r="S35" s="9"/>
      <c r="T35" s="9"/>
      <c r="U35" s="9"/>
    </row>
    <row r="36" spans="1:21" ht="15.6" x14ac:dyDescent="0.3">
      <c r="A36" s="9" t="s">
        <v>1137</v>
      </c>
      <c r="B36" s="9" t="s">
        <v>1139</v>
      </c>
      <c r="C36" s="9" t="s">
        <v>1140</v>
      </c>
      <c r="D36" s="10">
        <v>45911</v>
      </c>
      <c r="E36" s="9" t="s">
        <v>684</v>
      </c>
      <c r="F36" s="9" t="s">
        <v>1076</v>
      </c>
      <c r="G36" s="9" t="s">
        <v>1141</v>
      </c>
      <c r="H36" s="9" t="s">
        <v>1142</v>
      </c>
      <c r="I36" s="9" t="s">
        <v>27</v>
      </c>
      <c r="J36" s="9">
        <v>1</v>
      </c>
      <c r="K36" s="9">
        <v>1</v>
      </c>
      <c r="L36" s="9" t="s">
        <v>530</v>
      </c>
      <c r="M36" s="9" t="s">
        <v>29</v>
      </c>
      <c r="N36" s="9"/>
      <c r="O36" s="9"/>
      <c r="P36" s="9"/>
      <c r="Q36" s="9"/>
      <c r="R36" s="9"/>
      <c r="S36" s="9"/>
      <c r="T36" s="9"/>
      <c r="U36" s="9"/>
    </row>
    <row r="37" spans="1:21" ht="15.6" x14ac:dyDescent="0.3">
      <c r="A37" s="9" t="s">
        <v>1137</v>
      </c>
      <c r="B37" s="9" t="s">
        <v>1143</v>
      </c>
      <c r="C37" s="9" t="s">
        <v>1140</v>
      </c>
      <c r="D37" s="10">
        <v>45911</v>
      </c>
      <c r="E37" s="9" t="s">
        <v>684</v>
      </c>
      <c r="F37" s="9" t="s">
        <v>1076</v>
      </c>
      <c r="G37" s="9" t="s">
        <v>1141</v>
      </c>
      <c r="H37" s="9" t="s">
        <v>1142</v>
      </c>
      <c r="I37" s="9" t="s">
        <v>27</v>
      </c>
      <c r="J37" s="9">
        <v>2</v>
      </c>
      <c r="K37" s="9">
        <v>2</v>
      </c>
      <c r="L37" s="9" t="s">
        <v>1089</v>
      </c>
      <c r="M37" s="9" t="s">
        <v>29</v>
      </c>
      <c r="N37" s="9"/>
      <c r="O37" s="9"/>
      <c r="P37" s="9"/>
      <c r="Q37" s="9"/>
      <c r="R37" s="9"/>
      <c r="S37" s="9"/>
      <c r="T37" s="9"/>
      <c r="U37" s="9"/>
    </row>
    <row r="38" spans="1:21" ht="15.6" x14ac:dyDescent="0.3">
      <c r="A38" s="9" t="s">
        <v>1137</v>
      </c>
      <c r="B38" s="9" t="s">
        <v>1143</v>
      </c>
      <c r="C38" s="9" t="s">
        <v>1140</v>
      </c>
      <c r="D38" s="10">
        <v>45911</v>
      </c>
      <c r="E38" s="9" t="s">
        <v>684</v>
      </c>
      <c r="F38" s="9" t="s">
        <v>1076</v>
      </c>
      <c r="G38" s="9" t="s">
        <v>1100</v>
      </c>
      <c r="H38" s="9" t="s">
        <v>1101</v>
      </c>
      <c r="I38" s="9" t="s">
        <v>27</v>
      </c>
      <c r="J38" s="9">
        <v>1</v>
      </c>
      <c r="K38" s="9">
        <v>1</v>
      </c>
      <c r="L38" s="9" t="s">
        <v>530</v>
      </c>
      <c r="M38" s="9" t="s">
        <v>29</v>
      </c>
      <c r="N38" s="9"/>
      <c r="O38" s="9"/>
      <c r="P38" s="9"/>
      <c r="Q38" s="9"/>
      <c r="R38" s="9"/>
      <c r="S38" s="9"/>
      <c r="T38" s="9"/>
      <c r="U38" s="9"/>
    </row>
    <row r="39" spans="1:21" ht="15.6" x14ac:dyDescent="0.3">
      <c r="A39" s="9" t="s">
        <v>1127</v>
      </c>
      <c r="B39" s="9" t="s">
        <v>1128</v>
      </c>
      <c r="C39" s="9" t="s">
        <v>22</v>
      </c>
      <c r="D39" s="10">
        <v>45912</v>
      </c>
      <c r="E39" s="9" t="s">
        <v>684</v>
      </c>
      <c r="F39" s="9" t="s">
        <v>1076</v>
      </c>
      <c r="G39" s="9" t="s">
        <v>1087</v>
      </c>
      <c r="H39" s="9" t="s">
        <v>1088</v>
      </c>
      <c r="I39" s="9" t="s">
        <v>27</v>
      </c>
      <c r="J39" s="9">
        <v>5</v>
      </c>
      <c r="K39" s="9">
        <v>5</v>
      </c>
      <c r="L39" s="9" t="s">
        <v>1089</v>
      </c>
      <c r="M39" s="9" t="s">
        <v>29</v>
      </c>
      <c r="N39" s="9"/>
      <c r="O39" s="9"/>
      <c r="P39" s="9"/>
      <c r="Q39" s="9"/>
      <c r="R39" s="9"/>
      <c r="S39" s="9"/>
      <c r="T39" s="9"/>
      <c r="U39" s="9"/>
    </row>
    <row r="40" spans="1:21" ht="15.6" x14ac:dyDescent="0.3">
      <c r="A40" s="9" t="s">
        <v>1127</v>
      </c>
      <c r="B40" s="9" t="s">
        <v>1129</v>
      </c>
      <c r="C40" s="9" t="s">
        <v>22</v>
      </c>
      <c r="D40" s="10">
        <v>45912</v>
      </c>
      <c r="E40" s="9" t="s">
        <v>684</v>
      </c>
      <c r="F40" s="9" t="s">
        <v>1076</v>
      </c>
      <c r="G40" s="9" t="s">
        <v>1077</v>
      </c>
      <c r="H40" s="9" t="s">
        <v>1078</v>
      </c>
      <c r="I40" s="9" t="s">
        <v>27</v>
      </c>
      <c r="J40" s="9">
        <v>6</v>
      </c>
      <c r="K40" s="9">
        <v>6</v>
      </c>
      <c r="L40" s="9" t="s">
        <v>1089</v>
      </c>
      <c r="M40" s="9" t="s">
        <v>29</v>
      </c>
      <c r="N40" s="9"/>
      <c r="O40" s="9"/>
      <c r="P40" s="9"/>
      <c r="Q40" s="9"/>
      <c r="R40" s="9"/>
      <c r="S40" s="9"/>
      <c r="T40" s="9"/>
      <c r="U40" s="9"/>
    </row>
    <row r="41" spans="1:21" ht="15.6" x14ac:dyDescent="0.3">
      <c r="A41" s="9" t="s">
        <v>1127</v>
      </c>
      <c r="B41" s="9" t="s">
        <v>1130</v>
      </c>
      <c r="C41" s="9" t="s">
        <v>22</v>
      </c>
      <c r="D41" s="10">
        <v>45912</v>
      </c>
      <c r="E41" s="9" t="s">
        <v>684</v>
      </c>
      <c r="F41" s="9" t="s">
        <v>1076</v>
      </c>
      <c r="G41" s="9" t="s">
        <v>1131</v>
      </c>
      <c r="H41" s="9" t="s">
        <v>1132</v>
      </c>
      <c r="I41" s="9" t="s">
        <v>27</v>
      </c>
      <c r="J41" s="9">
        <v>2</v>
      </c>
      <c r="K41" s="9">
        <v>2</v>
      </c>
      <c r="L41" s="9" t="s">
        <v>1089</v>
      </c>
      <c r="M41" s="9" t="s">
        <v>29</v>
      </c>
      <c r="N41" s="9"/>
      <c r="O41" s="9"/>
      <c r="P41" s="9"/>
      <c r="Q41" s="9"/>
      <c r="R41" s="9"/>
      <c r="S41" s="9"/>
      <c r="T41" s="9"/>
      <c r="U41" s="9"/>
    </row>
    <row r="42" spans="1:21" ht="15.6" x14ac:dyDescent="0.3">
      <c r="A42" s="9" t="s">
        <v>1127</v>
      </c>
      <c r="B42" s="9" t="s">
        <v>1133</v>
      </c>
      <c r="C42" s="9" t="s">
        <v>22</v>
      </c>
      <c r="D42" s="10">
        <v>45912</v>
      </c>
      <c r="E42" s="9" t="s">
        <v>684</v>
      </c>
      <c r="F42" s="9" t="s">
        <v>1076</v>
      </c>
      <c r="G42" s="9" t="s">
        <v>1120</v>
      </c>
      <c r="H42" s="9" t="s">
        <v>1121</v>
      </c>
      <c r="I42" s="9" t="s">
        <v>27</v>
      </c>
      <c r="J42" s="9">
        <v>1</v>
      </c>
      <c r="K42" s="9">
        <v>1</v>
      </c>
      <c r="L42" s="9" t="s">
        <v>530</v>
      </c>
      <c r="M42" s="9" t="s">
        <v>29</v>
      </c>
      <c r="N42" s="9"/>
      <c r="O42" s="9"/>
      <c r="P42" s="9"/>
      <c r="Q42" s="9"/>
      <c r="R42" s="9"/>
      <c r="S42" s="9"/>
      <c r="T42" s="9"/>
      <c r="U42" s="9"/>
    </row>
    <row r="43" spans="1:21" ht="15.6" x14ac:dyDescent="0.3">
      <c r="A43" s="9" t="s">
        <v>1158</v>
      </c>
      <c r="B43" s="9" t="s">
        <v>1159</v>
      </c>
      <c r="C43" s="9" t="s">
        <v>1140</v>
      </c>
      <c r="D43" s="10">
        <v>45910</v>
      </c>
      <c r="E43" s="9"/>
      <c r="F43" s="9"/>
      <c r="G43" s="9"/>
      <c r="H43" s="9" t="s">
        <v>1160</v>
      </c>
      <c r="I43" s="9"/>
      <c r="J43" s="9">
        <v>3</v>
      </c>
      <c r="K43" s="9">
        <v>3</v>
      </c>
      <c r="L43" s="9"/>
      <c r="M43" s="9"/>
      <c r="N43" s="9"/>
      <c r="O43" s="9"/>
      <c r="P43" s="9"/>
      <c r="Q43" s="9"/>
      <c r="R43" s="9"/>
      <c r="S43" s="9"/>
      <c r="T43" s="9"/>
      <c r="U43" s="9"/>
    </row>
    <row r="44" spans="1:21" ht="15.6" x14ac:dyDescent="0.3">
      <c r="A44" s="9" t="s">
        <v>1158</v>
      </c>
      <c r="B44" s="9" t="s">
        <v>1161</v>
      </c>
      <c r="C44" s="9" t="s">
        <v>1140</v>
      </c>
      <c r="D44" s="10">
        <v>45910</v>
      </c>
      <c r="E44" s="9" t="s">
        <v>684</v>
      </c>
      <c r="F44" s="9" t="s">
        <v>1076</v>
      </c>
      <c r="G44" s="9" t="s">
        <v>1077</v>
      </c>
      <c r="H44" s="9" t="s">
        <v>1078</v>
      </c>
      <c r="I44" s="9" t="s">
        <v>27</v>
      </c>
      <c r="J44" s="9">
        <v>1</v>
      </c>
      <c r="K44" s="9">
        <v>1</v>
      </c>
      <c r="L44" s="9" t="s">
        <v>530</v>
      </c>
      <c r="M44" s="9" t="s">
        <v>29</v>
      </c>
      <c r="N44" s="9"/>
      <c r="O44" s="9"/>
      <c r="P44" s="9"/>
      <c r="Q44" s="9"/>
      <c r="R44" s="9"/>
      <c r="S44" s="9"/>
      <c r="T44" s="9"/>
      <c r="U44" s="9"/>
    </row>
  </sheetData>
  <sortState xmlns:xlrd2="http://schemas.microsoft.com/office/spreadsheetml/2017/richdata2" ref="A2:U44">
    <sortCondition ref="A1:A44"/>
  </sortState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CD48FD-E0CC-41F7-9166-52F7A1BDF88D}">
  <dimension ref="A1:Z23"/>
  <sheetViews>
    <sheetView workbookViewId="0">
      <selection activeCell="U24" sqref="U24"/>
    </sheetView>
  </sheetViews>
  <sheetFormatPr defaultRowHeight="14.4" x14ac:dyDescent="0.3"/>
  <cols>
    <col min="1" max="1" width="8.44140625" bestFit="1" customWidth="1"/>
    <col min="2" max="2" width="13.21875" hidden="1" customWidth="1"/>
    <col min="3" max="3" width="14.44140625" hidden="1" customWidth="1"/>
    <col min="4" max="4" width="11.6640625" hidden="1" customWidth="1"/>
    <col min="5" max="5" width="9.21875" bestFit="1" customWidth="1"/>
    <col min="6" max="6" width="11" bestFit="1" customWidth="1"/>
    <col min="7" max="7" width="23" bestFit="1" customWidth="1"/>
    <col min="8" max="8" width="22.6640625" bestFit="1" customWidth="1"/>
    <col min="9" max="9" width="11" bestFit="1" customWidth="1"/>
    <col min="10" max="10" width="16" bestFit="1" customWidth="1"/>
    <col min="11" max="11" width="18" hidden="1" customWidth="1"/>
    <col min="12" max="12" width="22.5546875" hidden="1" customWidth="1"/>
    <col min="13" max="13" width="17" hidden="1" customWidth="1"/>
    <col min="14" max="14" width="12.44140625" hidden="1" customWidth="1"/>
    <col min="15" max="15" width="14.21875" hidden="1" customWidth="1"/>
    <col min="16" max="16" width="14.5546875" hidden="1" customWidth="1"/>
    <col min="17" max="17" width="11.88671875" hidden="1" customWidth="1"/>
    <col min="18" max="18" width="13.5546875" hidden="1" customWidth="1"/>
    <col min="19" max="19" width="15.33203125" hidden="1" customWidth="1"/>
    <col min="20" max="20" width="12.88671875" hidden="1" customWidth="1"/>
    <col min="22" max="22" width="19.6640625" bestFit="1" customWidth="1"/>
    <col min="25" max="25" width="19.6640625" bestFit="1" customWidth="1"/>
  </cols>
  <sheetData>
    <row r="1" spans="1:26" x14ac:dyDescent="0.3">
      <c r="A1" s="49" t="s">
        <v>0</v>
      </c>
      <c r="B1" s="49" t="s">
        <v>1</v>
      </c>
      <c r="C1" s="49" t="s">
        <v>2</v>
      </c>
      <c r="D1" s="49" t="s">
        <v>3</v>
      </c>
      <c r="E1" s="50" t="s">
        <v>4</v>
      </c>
      <c r="F1" s="50" t="s">
        <v>5</v>
      </c>
      <c r="G1" s="49" t="s">
        <v>6</v>
      </c>
      <c r="H1" s="49" t="s">
        <v>7</v>
      </c>
      <c r="I1" s="51" t="s">
        <v>8</v>
      </c>
      <c r="J1" s="52" t="s">
        <v>9</v>
      </c>
      <c r="K1" s="52" t="s">
        <v>10</v>
      </c>
      <c r="L1" s="52" t="s">
        <v>11</v>
      </c>
      <c r="M1" s="52" t="s">
        <v>12</v>
      </c>
      <c r="N1" s="52" t="s">
        <v>13</v>
      </c>
      <c r="O1" s="52" t="s">
        <v>14</v>
      </c>
      <c r="P1" s="53" t="s">
        <v>15</v>
      </c>
      <c r="Q1" s="54" t="s">
        <v>16</v>
      </c>
      <c r="R1" s="54" t="s">
        <v>17</v>
      </c>
      <c r="S1" s="55" t="s">
        <v>18</v>
      </c>
      <c r="T1" s="56" t="s">
        <v>19</v>
      </c>
    </row>
    <row r="2" spans="1:26" x14ac:dyDescent="0.3">
      <c r="A2" s="57" t="s">
        <v>1233</v>
      </c>
      <c r="B2" s="57" t="s">
        <v>1234</v>
      </c>
      <c r="C2" s="57" t="s">
        <v>1235</v>
      </c>
      <c r="D2" s="58">
        <v>45970</v>
      </c>
      <c r="E2" s="57" t="s">
        <v>684</v>
      </c>
      <c r="F2" s="57" t="s">
        <v>1236</v>
      </c>
      <c r="G2" s="59" t="s">
        <v>1237</v>
      </c>
      <c r="H2" s="57" t="s">
        <v>1238</v>
      </c>
      <c r="I2" s="57" t="s">
        <v>27</v>
      </c>
      <c r="J2" s="57">
        <v>2</v>
      </c>
      <c r="K2" s="57" t="s">
        <v>1012</v>
      </c>
      <c r="L2" s="57" t="s">
        <v>1012</v>
      </c>
      <c r="M2" s="57" t="s">
        <v>29</v>
      </c>
      <c r="N2" s="57" t="s">
        <v>1239</v>
      </c>
      <c r="O2" s="57" t="s">
        <v>1240</v>
      </c>
      <c r="P2" s="57" t="s">
        <v>1012</v>
      </c>
      <c r="Q2" s="57" t="s">
        <v>1012</v>
      </c>
      <c r="R2" s="57" t="s">
        <v>1012</v>
      </c>
      <c r="S2" s="57" t="s">
        <v>32</v>
      </c>
      <c r="T2" s="57" t="s">
        <v>534</v>
      </c>
      <c r="V2" s="60" t="s">
        <v>1192</v>
      </c>
      <c r="W2" s="57" t="s">
        <v>520</v>
      </c>
      <c r="Y2" t="s">
        <v>1193</v>
      </c>
      <c r="Z2" t="s">
        <v>520</v>
      </c>
    </row>
    <row r="3" spans="1:26" x14ac:dyDescent="0.3">
      <c r="A3" s="59" t="s">
        <v>1241</v>
      </c>
      <c r="B3" s="59" t="s">
        <v>1242</v>
      </c>
      <c r="C3" s="59" t="s">
        <v>1235</v>
      </c>
      <c r="D3" s="61">
        <v>45911</v>
      </c>
      <c r="E3" s="59" t="s">
        <v>684</v>
      </c>
      <c r="F3" s="59" t="s">
        <v>1236</v>
      </c>
      <c r="G3" s="59" t="s">
        <v>1237</v>
      </c>
      <c r="H3" s="59" t="s">
        <v>1243</v>
      </c>
      <c r="I3" s="59" t="s">
        <v>27</v>
      </c>
      <c r="J3" s="59">
        <v>2</v>
      </c>
      <c r="K3" s="59" t="s">
        <v>1012</v>
      </c>
      <c r="L3" s="59" t="s">
        <v>1012</v>
      </c>
      <c r="M3" s="59" t="s">
        <v>29</v>
      </c>
      <c r="N3" s="59" t="s">
        <v>1244</v>
      </c>
      <c r="O3" s="59" t="s">
        <v>1245</v>
      </c>
      <c r="P3" s="59" t="s">
        <v>1012</v>
      </c>
      <c r="Q3" s="59" t="s">
        <v>1012</v>
      </c>
      <c r="R3" s="59" t="s">
        <v>1012</v>
      </c>
      <c r="S3" s="59" t="s">
        <v>32</v>
      </c>
      <c r="T3" s="59" t="s">
        <v>534</v>
      </c>
      <c r="V3" t="s">
        <v>1237</v>
      </c>
      <c r="W3">
        <f>SUMIF($G$2:$G$8, V3, $J$2:$J$8)</f>
        <v>27</v>
      </c>
      <c r="Y3" t="s">
        <v>1262</v>
      </c>
      <c r="Z3">
        <f>SUMIF($G$9:$G$23, Y3, $J$9:$J$23)</f>
        <v>0</v>
      </c>
    </row>
    <row r="4" spans="1:26" x14ac:dyDescent="0.3">
      <c r="A4" s="59" t="s">
        <v>1246</v>
      </c>
      <c r="B4" s="59" t="s">
        <v>1247</v>
      </c>
      <c r="C4" s="59" t="s">
        <v>1235</v>
      </c>
      <c r="D4" s="61">
        <v>45910</v>
      </c>
      <c r="E4" s="59" t="s">
        <v>684</v>
      </c>
      <c r="F4" s="59" t="s">
        <v>1236</v>
      </c>
      <c r="G4" s="59" t="s">
        <v>1237</v>
      </c>
      <c r="H4" s="59" t="s">
        <v>1243</v>
      </c>
      <c r="I4" s="59" t="s">
        <v>27</v>
      </c>
      <c r="J4" s="59">
        <v>8</v>
      </c>
      <c r="K4" s="59" t="s">
        <v>1012</v>
      </c>
      <c r="L4" s="59" t="s">
        <v>1012</v>
      </c>
      <c r="M4" s="59" t="s">
        <v>29</v>
      </c>
      <c r="N4" s="59" t="s">
        <v>1248</v>
      </c>
      <c r="O4" s="59" t="s">
        <v>1249</v>
      </c>
      <c r="P4" s="59" t="s">
        <v>1012</v>
      </c>
      <c r="Q4" s="59" t="s">
        <v>1012</v>
      </c>
      <c r="R4" s="59" t="s">
        <v>1012</v>
      </c>
      <c r="S4" s="59" t="s">
        <v>32</v>
      </c>
      <c r="T4" s="59" t="s">
        <v>534</v>
      </c>
      <c r="V4" t="s">
        <v>1251</v>
      </c>
      <c r="W4">
        <f>SUMIF($G$2:$G$8, V4, $J$2:$J$8)</f>
        <v>136</v>
      </c>
      <c r="Y4" t="s">
        <v>1267</v>
      </c>
      <c r="Z4">
        <f t="shared" ref="Z4:Z7" si="0">SUMIF($G$9:$G$23, Y4, $J$9:$J$23)</f>
        <v>2</v>
      </c>
    </row>
    <row r="5" spans="1:26" x14ac:dyDescent="0.3">
      <c r="A5" s="59" t="s">
        <v>1246</v>
      </c>
      <c r="B5" s="59" t="s">
        <v>1250</v>
      </c>
      <c r="C5" s="59" t="s">
        <v>1235</v>
      </c>
      <c r="D5" s="61">
        <v>45910</v>
      </c>
      <c r="E5" s="59" t="s">
        <v>684</v>
      </c>
      <c r="F5" s="59" t="s">
        <v>1236</v>
      </c>
      <c r="G5" s="59" t="s">
        <v>1251</v>
      </c>
      <c r="H5" s="59" t="s">
        <v>1252</v>
      </c>
      <c r="I5" s="59" t="s">
        <v>27</v>
      </c>
      <c r="J5" s="59">
        <v>110</v>
      </c>
      <c r="K5" s="59" t="s">
        <v>1012</v>
      </c>
      <c r="L5" s="59" t="s">
        <v>1012</v>
      </c>
      <c r="M5" s="59" t="s">
        <v>29</v>
      </c>
      <c r="N5" s="59" t="s">
        <v>1248</v>
      </c>
      <c r="O5" s="59" t="s">
        <v>1249</v>
      </c>
      <c r="P5" s="59" t="s">
        <v>1012</v>
      </c>
      <c r="Q5" s="59" t="s">
        <v>1012</v>
      </c>
      <c r="R5" s="59" t="s">
        <v>1012</v>
      </c>
      <c r="S5" s="59" t="s">
        <v>32</v>
      </c>
      <c r="T5" s="59" t="s">
        <v>534</v>
      </c>
      <c r="Y5" t="s">
        <v>1251</v>
      </c>
      <c r="Z5">
        <f t="shared" si="0"/>
        <v>262</v>
      </c>
    </row>
    <row r="6" spans="1:26" x14ac:dyDescent="0.3">
      <c r="A6" s="57" t="s">
        <v>1246</v>
      </c>
      <c r="B6" s="57" t="s">
        <v>1247</v>
      </c>
      <c r="C6" s="59" t="s">
        <v>1235</v>
      </c>
      <c r="D6" s="61">
        <v>45909</v>
      </c>
      <c r="E6" s="59" t="s">
        <v>684</v>
      </c>
      <c r="F6" s="59" t="s">
        <v>1236</v>
      </c>
      <c r="G6" s="59" t="s">
        <v>1251</v>
      </c>
      <c r="H6" s="59" t="s">
        <v>1253</v>
      </c>
      <c r="I6" s="59" t="s">
        <v>27</v>
      </c>
      <c r="J6" s="59">
        <v>26</v>
      </c>
      <c r="K6" s="59" t="s">
        <v>1012</v>
      </c>
      <c r="L6" s="59" t="s">
        <v>1012</v>
      </c>
      <c r="M6" s="59" t="s">
        <v>29</v>
      </c>
      <c r="N6" s="57" t="s">
        <v>1254</v>
      </c>
      <c r="O6" s="57" t="s">
        <v>1255</v>
      </c>
      <c r="P6" s="59" t="s">
        <v>1012</v>
      </c>
      <c r="Q6" s="59" t="s">
        <v>1012</v>
      </c>
      <c r="R6" s="59" t="s">
        <v>1012</v>
      </c>
      <c r="S6" s="59" t="s">
        <v>32</v>
      </c>
      <c r="T6" s="59" t="s">
        <v>534</v>
      </c>
      <c r="Y6" t="s">
        <v>1237</v>
      </c>
      <c r="Z6">
        <f t="shared" si="0"/>
        <v>0</v>
      </c>
    </row>
    <row r="7" spans="1:26" x14ac:dyDescent="0.3">
      <c r="A7" s="57" t="s">
        <v>1246</v>
      </c>
      <c r="B7" s="57" t="s">
        <v>1250</v>
      </c>
      <c r="C7" s="59" t="s">
        <v>1235</v>
      </c>
      <c r="D7" s="61">
        <v>45909</v>
      </c>
      <c r="E7" s="59" t="s">
        <v>684</v>
      </c>
      <c r="F7" s="59" t="s">
        <v>1236</v>
      </c>
      <c r="G7" s="59" t="s">
        <v>1237</v>
      </c>
      <c r="H7" s="59" t="s">
        <v>1238</v>
      </c>
      <c r="I7" s="59" t="s">
        <v>27</v>
      </c>
      <c r="J7" s="59">
        <v>15</v>
      </c>
      <c r="K7" s="59" t="s">
        <v>1012</v>
      </c>
      <c r="L7" s="59" t="s">
        <v>1012</v>
      </c>
      <c r="M7" s="59" t="s">
        <v>29</v>
      </c>
      <c r="N7" s="57" t="s">
        <v>1254</v>
      </c>
      <c r="O7" s="57" t="s">
        <v>1255</v>
      </c>
      <c r="P7" s="59" t="s">
        <v>1012</v>
      </c>
      <c r="Q7" s="59" t="s">
        <v>1012</v>
      </c>
      <c r="R7" s="59" t="s">
        <v>1012</v>
      </c>
      <c r="S7" s="59" t="s">
        <v>32</v>
      </c>
      <c r="T7" s="59" t="s">
        <v>534</v>
      </c>
      <c r="Y7" t="s">
        <v>1277</v>
      </c>
      <c r="Z7">
        <f t="shared" si="0"/>
        <v>0</v>
      </c>
    </row>
    <row r="8" spans="1:26" x14ac:dyDescent="0.3">
      <c r="A8" s="59" t="s">
        <v>1256</v>
      </c>
      <c r="B8" s="59" t="s">
        <v>1257</v>
      </c>
      <c r="C8" s="59" t="s">
        <v>1235</v>
      </c>
      <c r="D8" s="61">
        <v>45909</v>
      </c>
      <c r="E8" s="59" t="s">
        <v>684</v>
      </c>
      <c r="F8" s="59" t="s">
        <v>1236</v>
      </c>
      <c r="G8" s="59" t="s">
        <v>1251</v>
      </c>
      <c r="H8" s="59" t="s">
        <v>1252</v>
      </c>
      <c r="I8" s="59" t="s">
        <v>27</v>
      </c>
      <c r="J8" s="59" t="s">
        <v>1012</v>
      </c>
      <c r="K8" s="59" t="s">
        <v>1012</v>
      </c>
      <c r="L8" s="59" t="s">
        <v>1012</v>
      </c>
      <c r="M8" s="59" t="s">
        <v>29</v>
      </c>
      <c r="N8" s="59" t="s">
        <v>1258</v>
      </c>
      <c r="O8" s="59" t="s">
        <v>1259</v>
      </c>
      <c r="P8" s="59" t="s">
        <v>1012</v>
      </c>
      <c r="Q8" s="59" t="s">
        <v>1012</v>
      </c>
      <c r="R8" s="59" t="s">
        <v>1012</v>
      </c>
      <c r="S8" s="59" t="s">
        <v>32</v>
      </c>
      <c r="T8" s="59" t="s">
        <v>534</v>
      </c>
      <c r="U8">
        <f>COUNTA(A2:A8)</f>
        <v>7</v>
      </c>
    </row>
    <row r="9" spans="1:26" x14ac:dyDescent="0.3">
      <c r="A9" s="59" t="s">
        <v>1260</v>
      </c>
      <c r="B9" s="59" t="s">
        <v>1261</v>
      </c>
      <c r="C9" s="59" t="s">
        <v>1235</v>
      </c>
      <c r="D9" s="61">
        <v>45910</v>
      </c>
      <c r="E9" s="59" t="s">
        <v>684</v>
      </c>
      <c r="F9" s="59" t="s">
        <v>1236</v>
      </c>
      <c r="G9" s="59" t="s">
        <v>1262</v>
      </c>
      <c r="H9" s="59" t="s">
        <v>1263</v>
      </c>
      <c r="I9" s="59" t="s">
        <v>27</v>
      </c>
      <c r="J9" s="59" t="s">
        <v>1012</v>
      </c>
      <c r="K9" s="59" t="s">
        <v>1012</v>
      </c>
      <c r="L9" s="59" t="s">
        <v>1012</v>
      </c>
      <c r="M9" s="59" t="s">
        <v>29</v>
      </c>
      <c r="N9" s="59" t="s">
        <v>1264</v>
      </c>
      <c r="O9" s="59" t="s">
        <v>1265</v>
      </c>
      <c r="P9" s="59" t="s">
        <v>1012</v>
      </c>
      <c r="Q9" s="59" t="s">
        <v>1012</v>
      </c>
      <c r="R9" s="59" t="s">
        <v>1012</v>
      </c>
      <c r="S9" s="59" t="s">
        <v>32</v>
      </c>
      <c r="T9" s="59" t="s">
        <v>534</v>
      </c>
    </row>
    <row r="10" spans="1:26" x14ac:dyDescent="0.3">
      <c r="A10" s="59" t="s">
        <v>1260</v>
      </c>
      <c r="B10" s="59" t="s">
        <v>1266</v>
      </c>
      <c r="C10" s="59" t="s">
        <v>1235</v>
      </c>
      <c r="D10" s="61">
        <v>45910</v>
      </c>
      <c r="E10" s="59" t="s">
        <v>684</v>
      </c>
      <c r="F10" s="59" t="s">
        <v>1236</v>
      </c>
      <c r="G10" s="59" t="s">
        <v>1267</v>
      </c>
      <c r="H10" s="59" t="s">
        <v>1268</v>
      </c>
      <c r="I10" s="59" t="s">
        <v>27</v>
      </c>
      <c r="J10" s="59" t="s">
        <v>1012</v>
      </c>
      <c r="K10" s="59" t="s">
        <v>1012</v>
      </c>
      <c r="L10" s="59" t="s">
        <v>1012</v>
      </c>
      <c r="M10" s="59" t="s">
        <v>29</v>
      </c>
      <c r="N10" s="59" t="s">
        <v>1264</v>
      </c>
      <c r="O10" s="59" t="s">
        <v>1265</v>
      </c>
      <c r="P10" s="59" t="s">
        <v>1012</v>
      </c>
      <c r="Q10" s="59" t="s">
        <v>1012</v>
      </c>
      <c r="R10" s="59" t="s">
        <v>1012</v>
      </c>
      <c r="S10" s="59" t="s">
        <v>32</v>
      </c>
      <c r="T10" s="59" t="s">
        <v>534</v>
      </c>
    </row>
    <row r="11" spans="1:26" x14ac:dyDescent="0.3">
      <c r="A11" s="59" t="s">
        <v>1260</v>
      </c>
      <c r="B11" s="59" t="s">
        <v>1269</v>
      </c>
      <c r="C11" s="59" t="s">
        <v>1235</v>
      </c>
      <c r="D11" s="61">
        <v>45910</v>
      </c>
      <c r="E11" s="59" t="s">
        <v>684</v>
      </c>
      <c r="F11" s="59" t="s">
        <v>1236</v>
      </c>
      <c r="G11" s="59" t="s">
        <v>1251</v>
      </c>
      <c r="H11" s="59" t="s">
        <v>1252</v>
      </c>
      <c r="I11" s="59" t="s">
        <v>27</v>
      </c>
      <c r="J11" s="59" t="s">
        <v>1012</v>
      </c>
      <c r="K11" s="59" t="s">
        <v>1012</v>
      </c>
      <c r="L11" s="59" t="s">
        <v>1012</v>
      </c>
      <c r="M11" s="59" t="s">
        <v>29</v>
      </c>
      <c r="N11" s="59" t="s">
        <v>1264</v>
      </c>
      <c r="O11" s="59" t="s">
        <v>1265</v>
      </c>
      <c r="P11" s="59" t="s">
        <v>1012</v>
      </c>
      <c r="Q11" s="59" t="s">
        <v>1012</v>
      </c>
      <c r="R11" s="59" t="s">
        <v>1012</v>
      </c>
      <c r="S11" s="59" t="s">
        <v>32</v>
      </c>
      <c r="T11" s="59" t="s">
        <v>534</v>
      </c>
    </row>
    <row r="12" spans="1:26" x14ac:dyDescent="0.3">
      <c r="A12" s="59" t="s">
        <v>1270</v>
      </c>
      <c r="B12" s="59" t="s">
        <v>1271</v>
      </c>
      <c r="C12" s="59" t="s">
        <v>1235</v>
      </c>
      <c r="D12" s="61">
        <v>45910</v>
      </c>
      <c r="E12" s="59" t="s">
        <v>684</v>
      </c>
      <c r="F12" s="59" t="s">
        <v>1236</v>
      </c>
      <c r="G12" s="59" t="s">
        <v>1267</v>
      </c>
      <c r="H12" s="59" t="s">
        <v>1268</v>
      </c>
      <c r="I12" s="59" t="s">
        <v>27</v>
      </c>
      <c r="J12" s="59" t="s">
        <v>1012</v>
      </c>
      <c r="K12" s="59" t="s">
        <v>1012</v>
      </c>
      <c r="L12" s="59" t="s">
        <v>1012</v>
      </c>
      <c r="M12" s="59" t="s">
        <v>29</v>
      </c>
      <c r="N12" s="59" t="s">
        <v>1272</v>
      </c>
      <c r="O12" s="59" t="s">
        <v>1273</v>
      </c>
      <c r="P12" s="59" t="s">
        <v>1012</v>
      </c>
      <c r="Q12" s="59" t="s">
        <v>1012</v>
      </c>
      <c r="R12" s="59" t="s">
        <v>1012</v>
      </c>
      <c r="S12" s="59" t="s">
        <v>32</v>
      </c>
      <c r="T12" s="59" t="s">
        <v>534</v>
      </c>
    </row>
    <row r="13" spans="1:26" x14ac:dyDescent="0.3">
      <c r="A13" s="59" t="s">
        <v>1270</v>
      </c>
      <c r="B13" s="59" t="s">
        <v>1274</v>
      </c>
      <c r="C13" s="59" t="s">
        <v>1235</v>
      </c>
      <c r="D13" s="61">
        <v>45910</v>
      </c>
      <c r="E13" s="59" t="s">
        <v>684</v>
      </c>
      <c r="F13" s="59" t="s">
        <v>1236</v>
      </c>
      <c r="G13" s="59" t="s">
        <v>1251</v>
      </c>
      <c r="H13" s="59" t="s">
        <v>1252</v>
      </c>
      <c r="I13" s="59" t="s">
        <v>27</v>
      </c>
      <c r="J13" s="59" t="s">
        <v>1012</v>
      </c>
      <c r="K13" s="59" t="s">
        <v>1012</v>
      </c>
      <c r="L13" s="59" t="s">
        <v>1012</v>
      </c>
      <c r="M13" s="59" t="s">
        <v>29</v>
      </c>
      <c r="N13" s="59" t="s">
        <v>1272</v>
      </c>
      <c r="O13" s="59" t="s">
        <v>1273</v>
      </c>
      <c r="P13" s="59" t="s">
        <v>1012</v>
      </c>
      <c r="Q13" s="59" t="s">
        <v>1012</v>
      </c>
      <c r="R13" s="59" t="s">
        <v>1012</v>
      </c>
      <c r="S13" s="59" t="s">
        <v>32</v>
      </c>
      <c r="T13" s="59" t="s">
        <v>534</v>
      </c>
    </row>
    <row r="14" spans="1:26" x14ac:dyDescent="0.3">
      <c r="A14" s="59" t="s">
        <v>1270</v>
      </c>
      <c r="B14" s="59" t="s">
        <v>1275</v>
      </c>
      <c r="C14" s="59" t="s">
        <v>1235</v>
      </c>
      <c r="D14" s="61">
        <v>45910</v>
      </c>
      <c r="E14" s="59" t="s">
        <v>684</v>
      </c>
      <c r="F14" s="59" t="s">
        <v>1236</v>
      </c>
      <c r="G14" s="59" t="s">
        <v>1237</v>
      </c>
      <c r="H14" s="59" t="s">
        <v>1243</v>
      </c>
      <c r="I14" s="59" t="s">
        <v>27</v>
      </c>
      <c r="J14" s="59" t="s">
        <v>1012</v>
      </c>
      <c r="K14" s="59" t="s">
        <v>1012</v>
      </c>
      <c r="L14" s="59" t="s">
        <v>1012</v>
      </c>
      <c r="M14" s="59" t="s">
        <v>29</v>
      </c>
      <c r="N14" s="59" t="s">
        <v>1272</v>
      </c>
      <c r="O14" s="59" t="s">
        <v>1273</v>
      </c>
      <c r="P14" s="59" t="s">
        <v>1012</v>
      </c>
      <c r="Q14" s="59" t="s">
        <v>1012</v>
      </c>
      <c r="R14" s="59" t="s">
        <v>1012</v>
      </c>
      <c r="S14" s="59" t="s">
        <v>32</v>
      </c>
      <c r="T14" s="59" t="s">
        <v>534</v>
      </c>
    </row>
    <row r="15" spans="1:26" x14ac:dyDescent="0.3">
      <c r="A15" s="59" t="s">
        <v>1270</v>
      </c>
      <c r="B15" s="59" t="s">
        <v>1276</v>
      </c>
      <c r="C15" s="59" t="s">
        <v>1235</v>
      </c>
      <c r="D15" s="61">
        <v>45910</v>
      </c>
      <c r="E15" s="59" t="s">
        <v>684</v>
      </c>
      <c r="F15" s="59" t="s">
        <v>1236</v>
      </c>
      <c r="G15" s="59" t="s">
        <v>1277</v>
      </c>
      <c r="H15" s="59" t="s">
        <v>1278</v>
      </c>
      <c r="I15" s="59" t="s">
        <v>27</v>
      </c>
      <c r="J15" s="59" t="s">
        <v>1012</v>
      </c>
      <c r="K15" s="59" t="s">
        <v>1012</v>
      </c>
      <c r="L15" s="59" t="s">
        <v>1012</v>
      </c>
      <c r="M15" s="59" t="s">
        <v>29</v>
      </c>
      <c r="N15" s="59" t="s">
        <v>1272</v>
      </c>
      <c r="O15" s="59" t="s">
        <v>1273</v>
      </c>
      <c r="P15" s="59" t="s">
        <v>1012</v>
      </c>
      <c r="Q15" s="59" t="s">
        <v>1012</v>
      </c>
      <c r="R15" s="59" t="s">
        <v>1012</v>
      </c>
      <c r="S15" s="59" t="s">
        <v>32</v>
      </c>
      <c r="T15" s="59" t="s">
        <v>534</v>
      </c>
    </row>
    <row r="16" spans="1:26" x14ac:dyDescent="0.3">
      <c r="A16" s="59" t="s">
        <v>1279</v>
      </c>
      <c r="B16" s="59" t="s">
        <v>1280</v>
      </c>
      <c r="C16" s="59" t="s">
        <v>1235</v>
      </c>
      <c r="D16" s="61">
        <v>45909</v>
      </c>
      <c r="E16" s="59" t="s">
        <v>684</v>
      </c>
      <c r="F16" s="59" t="s">
        <v>1236</v>
      </c>
      <c r="G16" s="59" t="s">
        <v>1267</v>
      </c>
      <c r="H16" s="59" t="s">
        <v>1268</v>
      </c>
      <c r="I16" s="59" t="s">
        <v>27</v>
      </c>
      <c r="J16" s="59" t="s">
        <v>1012</v>
      </c>
      <c r="K16" s="59" t="s">
        <v>1012</v>
      </c>
      <c r="L16" s="59" t="s">
        <v>1012</v>
      </c>
      <c r="M16" s="59" t="s">
        <v>29</v>
      </c>
      <c r="N16" s="59" t="s">
        <v>1281</v>
      </c>
      <c r="O16" s="59" t="s">
        <v>1282</v>
      </c>
      <c r="P16" s="59" t="s">
        <v>1012</v>
      </c>
      <c r="Q16" s="59" t="s">
        <v>1012</v>
      </c>
      <c r="R16" s="59" t="s">
        <v>1012</v>
      </c>
      <c r="S16" s="59" t="s">
        <v>32</v>
      </c>
      <c r="T16" s="59" t="s">
        <v>534</v>
      </c>
    </row>
    <row r="17" spans="1:21" x14ac:dyDescent="0.3">
      <c r="A17" s="59" t="s">
        <v>1279</v>
      </c>
      <c r="B17" s="59" t="s">
        <v>1283</v>
      </c>
      <c r="C17" s="59" t="s">
        <v>1235</v>
      </c>
      <c r="D17" s="61">
        <v>45909</v>
      </c>
      <c r="E17" s="59" t="s">
        <v>684</v>
      </c>
      <c r="F17" s="59" t="s">
        <v>1236</v>
      </c>
      <c r="G17" s="59" t="s">
        <v>1251</v>
      </c>
      <c r="H17" s="59" t="s">
        <v>1252</v>
      </c>
      <c r="I17" s="59" t="s">
        <v>27</v>
      </c>
      <c r="J17" s="59" t="s">
        <v>1012</v>
      </c>
      <c r="K17" s="59" t="s">
        <v>1012</v>
      </c>
      <c r="L17" s="59" t="s">
        <v>1012</v>
      </c>
      <c r="M17" s="59" t="s">
        <v>29</v>
      </c>
      <c r="N17" s="59" t="s">
        <v>1281</v>
      </c>
      <c r="O17" s="59" t="s">
        <v>1282</v>
      </c>
      <c r="P17" s="59" t="s">
        <v>1012</v>
      </c>
      <c r="Q17" s="59" t="s">
        <v>1012</v>
      </c>
      <c r="R17" s="59" t="s">
        <v>1012</v>
      </c>
      <c r="S17" s="59" t="s">
        <v>32</v>
      </c>
      <c r="T17" s="59" t="s">
        <v>534</v>
      </c>
    </row>
    <row r="18" spans="1:21" x14ac:dyDescent="0.3">
      <c r="A18" s="59" t="s">
        <v>1279</v>
      </c>
      <c r="B18" s="59" t="s">
        <v>1284</v>
      </c>
      <c r="C18" s="59" t="s">
        <v>1235</v>
      </c>
      <c r="D18" s="61">
        <v>45909</v>
      </c>
      <c r="E18" s="59" t="s">
        <v>684</v>
      </c>
      <c r="F18" s="59" t="s">
        <v>1236</v>
      </c>
      <c r="G18" s="59" t="s">
        <v>1237</v>
      </c>
      <c r="H18" s="59" t="s">
        <v>1243</v>
      </c>
      <c r="I18" s="59" t="s">
        <v>27</v>
      </c>
      <c r="J18" s="59" t="s">
        <v>1012</v>
      </c>
      <c r="K18" s="59" t="s">
        <v>1012</v>
      </c>
      <c r="L18" s="59" t="s">
        <v>1012</v>
      </c>
      <c r="M18" s="59" t="s">
        <v>29</v>
      </c>
      <c r="N18" s="59" t="s">
        <v>1281</v>
      </c>
      <c r="O18" s="59" t="s">
        <v>1282</v>
      </c>
      <c r="P18" s="59" t="s">
        <v>1012</v>
      </c>
      <c r="Q18" s="59" t="s">
        <v>1012</v>
      </c>
      <c r="R18" s="59" t="s">
        <v>1012</v>
      </c>
      <c r="S18" s="59" t="s">
        <v>32</v>
      </c>
      <c r="T18" s="59" t="s">
        <v>534</v>
      </c>
    </row>
    <row r="19" spans="1:21" x14ac:dyDescent="0.3">
      <c r="A19" s="62" t="s">
        <v>1285</v>
      </c>
      <c r="B19" s="62" t="s">
        <v>1286</v>
      </c>
      <c r="C19" s="59" t="s">
        <v>1235</v>
      </c>
      <c r="D19" s="61">
        <v>45910</v>
      </c>
      <c r="E19" s="59" t="s">
        <v>684</v>
      </c>
      <c r="F19" s="59" t="s">
        <v>1236</v>
      </c>
      <c r="G19" s="59" t="s">
        <v>1262</v>
      </c>
      <c r="H19" s="59" t="s">
        <v>1263</v>
      </c>
      <c r="I19" s="59" t="s">
        <v>27</v>
      </c>
      <c r="J19" s="59" t="s">
        <v>1012</v>
      </c>
      <c r="K19" s="59" t="s">
        <v>1012</v>
      </c>
      <c r="L19" s="59" t="s">
        <v>1012</v>
      </c>
      <c r="M19" s="59" t="s">
        <v>29</v>
      </c>
      <c r="N19" s="59" t="s">
        <v>1281</v>
      </c>
      <c r="O19" s="59" t="s">
        <v>1282</v>
      </c>
      <c r="P19" s="59" t="s">
        <v>1012</v>
      </c>
      <c r="Q19" s="59" t="s">
        <v>1012</v>
      </c>
      <c r="R19" s="59" t="s">
        <v>1012</v>
      </c>
      <c r="S19" s="59" t="s">
        <v>32</v>
      </c>
      <c r="T19" s="59" t="s">
        <v>534</v>
      </c>
    </row>
    <row r="20" spans="1:21" x14ac:dyDescent="0.3">
      <c r="A20" s="62" t="s">
        <v>1285</v>
      </c>
      <c r="B20" s="62" t="s">
        <v>1287</v>
      </c>
      <c r="C20" s="59" t="s">
        <v>1235</v>
      </c>
      <c r="D20" s="61">
        <v>45910</v>
      </c>
      <c r="E20" s="59" t="s">
        <v>684</v>
      </c>
      <c r="F20" s="59" t="s">
        <v>1236</v>
      </c>
      <c r="G20" s="59" t="s">
        <v>1251</v>
      </c>
      <c r="H20" s="59" t="s">
        <v>1252</v>
      </c>
      <c r="I20" s="59" t="s">
        <v>27</v>
      </c>
      <c r="J20" s="59" t="s">
        <v>1012</v>
      </c>
      <c r="K20" s="59" t="s">
        <v>1012</v>
      </c>
      <c r="L20" s="59" t="s">
        <v>1012</v>
      </c>
      <c r="M20" s="59" t="s">
        <v>29</v>
      </c>
      <c r="N20" s="59" t="s">
        <v>1281</v>
      </c>
      <c r="O20" s="59" t="s">
        <v>1282</v>
      </c>
      <c r="P20" s="59" t="s">
        <v>1012</v>
      </c>
      <c r="Q20" s="59" t="s">
        <v>1012</v>
      </c>
      <c r="R20" s="59" t="s">
        <v>1012</v>
      </c>
      <c r="S20" s="59" t="s">
        <v>32</v>
      </c>
      <c r="T20" s="59" t="s">
        <v>534</v>
      </c>
    </row>
    <row r="21" spans="1:21" x14ac:dyDescent="0.3">
      <c r="A21" s="62" t="s">
        <v>1285</v>
      </c>
      <c r="B21" s="62" t="s">
        <v>1288</v>
      </c>
      <c r="C21" s="59" t="s">
        <v>1235</v>
      </c>
      <c r="D21" s="61">
        <v>45910</v>
      </c>
      <c r="E21" s="59" t="s">
        <v>684</v>
      </c>
      <c r="F21" s="59" t="s">
        <v>1236</v>
      </c>
      <c r="G21" s="59" t="s">
        <v>1237</v>
      </c>
      <c r="H21" s="59" t="s">
        <v>1243</v>
      </c>
      <c r="I21" s="59" t="s">
        <v>27</v>
      </c>
      <c r="J21" s="59" t="s">
        <v>1012</v>
      </c>
      <c r="K21" s="59" t="s">
        <v>1012</v>
      </c>
      <c r="L21" s="59" t="s">
        <v>1012</v>
      </c>
      <c r="M21" s="59" t="s">
        <v>29</v>
      </c>
      <c r="N21" s="59" t="s">
        <v>1281</v>
      </c>
      <c r="O21" s="59" t="s">
        <v>1282</v>
      </c>
      <c r="P21" s="59" t="s">
        <v>1012</v>
      </c>
      <c r="Q21" s="59" t="s">
        <v>1012</v>
      </c>
      <c r="R21" s="59" t="s">
        <v>1012</v>
      </c>
      <c r="S21" s="59" t="s">
        <v>32</v>
      </c>
      <c r="T21" s="59" t="s">
        <v>534</v>
      </c>
    </row>
    <row r="22" spans="1:21" x14ac:dyDescent="0.3">
      <c r="A22" s="63" t="s">
        <v>1289</v>
      </c>
      <c r="B22" s="63" t="s">
        <v>1286</v>
      </c>
      <c r="C22" s="59" t="s">
        <v>1235</v>
      </c>
      <c r="D22" s="61">
        <v>45909</v>
      </c>
      <c r="E22" s="59" t="s">
        <v>684</v>
      </c>
      <c r="F22" s="59" t="s">
        <v>1236</v>
      </c>
      <c r="G22" s="59" t="s">
        <v>1267</v>
      </c>
      <c r="H22" s="59" t="s">
        <v>1290</v>
      </c>
      <c r="I22" s="59" t="s">
        <v>27</v>
      </c>
      <c r="J22" s="59">
        <v>2</v>
      </c>
      <c r="K22" s="59" t="s">
        <v>1012</v>
      </c>
      <c r="L22" s="59" t="s">
        <v>1012</v>
      </c>
      <c r="M22" s="59" t="s">
        <v>29</v>
      </c>
      <c r="N22" s="64" t="s">
        <v>1291</v>
      </c>
      <c r="O22" s="64" t="s">
        <v>1291</v>
      </c>
      <c r="P22" s="59" t="s">
        <v>1012</v>
      </c>
      <c r="Q22" s="59" t="s">
        <v>1012</v>
      </c>
      <c r="R22" s="59" t="s">
        <v>1012</v>
      </c>
      <c r="S22" s="59" t="s">
        <v>32</v>
      </c>
      <c r="T22" s="59" t="s">
        <v>534</v>
      </c>
    </row>
    <row r="23" spans="1:21" x14ac:dyDescent="0.3">
      <c r="A23" s="63" t="s">
        <v>1289</v>
      </c>
      <c r="B23" s="63" t="s">
        <v>1287</v>
      </c>
      <c r="C23" s="59" t="s">
        <v>1235</v>
      </c>
      <c r="D23" s="61">
        <v>45909</v>
      </c>
      <c r="E23" s="59" t="s">
        <v>684</v>
      </c>
      <c r="F23" s="59" t="s">
        <v>1236</v>
      </c>
      <c r="G23" s="59" t="s">
        <v>1251</v>
      </c>
      <c r="H23" s="59" t="s">
        <v>1253</v>
      </c>
      <c r="I23" s="59" t="s">
        <v>27</v>
      </c>
      <c r="J23" s="59">
        <v>262</v>
      </c>
      <c r="K23" s="59" t="s">
        <v>1012</v>
      </c>
      <c r="L23" s="59" t="s">
        <v>1012</v>
      </c>
      <c r="M23" s="59" t="s">
        <v>29</v>
      </c>
      <c r="N23" s="64" t="s">
        <v>1291</v>
      </c>
      <c r="O23" s="64" t="s">
        <v>1291</v>
      </c>
      <c r="P23" s="59" t="s">
        <v>1012</v>
      </c>
      <c r="Q23" s="59" t="s">
        <v>1012</v>
      </c>
      <c r="R23" s="59" t="s">
        <v>1012</v>
      </c>
      <c r="S23" s="59" t="s">
        <v>32</v>
      </c>
      <c r="T23" s="59" t="s">
        <v>534</v>
      </c>
      <c r="U23">
        <f>COUNTA(A9:A23)</f>
        <v>15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DFF46A-CC76-4866-96F7-4BE282695A08}">
  <dimension ref="A1:CS160"/>
  <sheetViews>
    <sheetView topLeftCell="BN85" zoomScale="85" zoomScaleNormal="85" workbookViewId="0">
      <selection activeCell="CF106" sqref="CF106"/>
    </sheetView>
  </sheetViews>
  <sheetFormatPr defaultRowHeight="14.4" x14ac:dyDescent="0.3"/>
  <cols>
    <col min="1" max="1" width="11.5546875" bestFit="1" customWidth="1"/>
    <col min="2" max="2" width="22.109375" bestFit="1" customWidth="1"/>
    <col min="3" max="3" width="6.6640625" bestFit="1" customWidth="1"/>
    <col min="4" max="4" width="22.5546875" bestFit="1" customWidth="1"/>
    <col min="5" max="5" width="6.6640625" bestFit="1" customWidth="1"/>
    <col min="7" max="7" width="11.33203125" customWidth="1"/>
    <col min="8" max="14" width="8.88671875" customWidth="1"/>
    <col min="15" max="15" width="10.77734375" customWidth="1"/>
    <col min="16" max="21" width="8.88671875" customWidth="1"/>
    <col min="22" max="22" width="23" customWidth="1"/>
    <col min="23" max="23" width="25.77734375" customWidth="1"/>
    <col min="24" max="30" width="8.88671875" customWidth="1"/>
    <col min="31" max="31" width="17.21875" customWidth="1"/>
    <col min="32" max="32" width="21" customWidth="1"/>
    <col min="33" max="36" width="17.21875" customWidth="1"/>
    <col min="37" max="37" width="21" customWidth="1"/>
    <col min="38" max="42" width="8.88671875" customWidth="1"/>
    <col min="43" max="43" width="22.5546875" bestFit="1" customWidth="1"/>
    <col min="44" max="44" width="5.88671875" bestFit="1" customWidth="1"/>
    <col min="45" max="45" width="5.5546875" bestFit="1" customWidth="1"/>
    <col min="47" max="47" width="25.77734375" bestFit="1" customWidth="1"/>
    <col min="48" max="49" width="5.5546875" bestFit="1" customWidth="1"/>
    <col min="51" max="51" width="22.21875" bestFit="1" customWidth="1"/>
    <col min="55" max="55" width="19.44140625" bestFit="1" customWidth="1"/>
    <col min="86" max="86" width="12.109375" bestFit="1" customWidth="1"/>
    <col min="87" max="87" width="17.44140625" bestFit="1" customWidth="1"/>
    <col min="88" max="88" width="10.6640625" bestFit="1" customWidth="1"/>
    <col min="89" max="89" width="10.77734375" bestFit="1" customWidth="1"/>
    <col min="92" max="92" width="20.88671875" bestFit="1" customWidth="1"/>
    <col min="93" max="93" width="10.6640625" bestFit="1" customWidth="1"/>
    <col min="94" max="94" width="10.77734375" bestFit="1" customWidth="1"/>
  </cols>
  <sheetData>
    <row r="1" spans="1:97" x14ac:dyDescent="0.3">
      <c r="B1" t="s">
        <v>519</v>
      </c>
      <c r="C1" t="s">
        <v>520</v>
      </c>
      <c r="D1" t="s">
        <v>521</v>
      </c>
      <c r="E1" t="s">
        <v>520</v>
      </c>
      <c r="G1" t="s">
        <v>1178</v>
      </c>
      <c r="H1" t="s">
        <v>1179</v>
      </c>
      <c r="J1" t="s">
        <v>1172</v>
      </c>
      <c r="K1" t="s">
        <v>1180</v>
      </c>
      <c r="L1" t="s">
        <v>1181</v>
      </c>
      <c r="N1" t="s">
        <v>1178</v>
      </c>
      <c r="O1" t="s">
        <v>1179</v>
      </c>
      <c r="Q1" t="s">
        <v>1172</v>
      </c>
      <c r="R1" t="s">
        <v>1173</v>
      </c>
      <c r="S1" t="s">
        <v>1174</v>
      </c>
      <c r="V1" t="s">
        <v>519</v>
      </c>
      <c r="W1" t="s">
        <v>521</v>
      </c>
      <c r="AF1" t="s">
        <v>1192</v>
      </c>
      <c r="AK1" t="s">
        <v>1193</v>
      </c>
      <c r="AQ1" t="s">
        <v>1165</v>
      </c>
      <c r="AR1" s="67" t="s">
        <v>1198</v>
      </c>
      <c r="AS1" s="67"/>
      <c r="AU1" t="s">
        <v>1166</v>
      </c>
      <c r="AV1" s="67" t="s">
        <v>1199</v>
      </c>
      <c r="AW1" s="67"/>
      <c r="AY1" t="s">
        <v>1167</v>
      </c>
      <c r="AZ1" s="67" t="s">
        <v>1199</v>
      </c>
      <c r="BA1" s="67"/>
      <c r="BC1" t="s">
        <v>1169</v>
      </c>
      <c r="BD1" s="67" t="s">
        <v>1199</v>
      </c>
      <c r="BE1" s="67"/>
      <c r="CB1">
        <f>COUNT(CB2:CB121)</f>
        <v>80</v>
      </c>
      <c r="CC1">
        <f>COUNT(CC2:CC121)</f>
        <v>80</v>
      </c>
    </row>
    <row r="2" spans="1:97" x14ac:dyDescent="0.3">
      <c r="A2" s="66" t="s">
        <v>1165</v>
      </c>
      <c r="B2" t="s">
        <v>25</v>
      </c>
      <c r="C2">
        <v>17</v>
      </c>
      <c r="D2" t="s">
        <v>313</v>
      </c>
      <c r="E2">
        <v>2</v>
      </c>
      <c r="G2">
        <f>C2/C$26</f>
        <v>0.12408759124087591</v>
      </c>
      <c r="H2">
        <f>LOG(G2)</f>
        <v>-0.9062716457781328</v>
      </c>
      <c r="J2">
        <f>-SUMPRODUCT(G2:G25,H2:H25)</f>
        <v>1.1876018318442356</v>
      </c>
      <c r="K2">
        <f>LOG10(COUNTA(B2:B25))</f>
        <v>1.3802112417116059</v>
      </c>
      <c r="L2">
        <f>J2/K2</f>
        <v>0.86044932540288943</v>
      </c>
      <c r="N2">
        <f>E2/E$26</f>
        <v>1.9801980198019802E-2</v>
      </c>
      <c r="O2">
        <f>LOG(N2)</f>
        <v>-1.7032913781186614</v>
      </c>
      <c r="Q2">
        <f>-SUMPRODUCT(N2:N25,O2:O25)</f>
        <v>1.0508047507804728</v>
      </c>
      <c r="R2">
        <f>LOG10(COUNTA(D2:D25))</f>
        <v>1.255272505103306</v>
      </c>
      <c r="S2">
        <f>Q2/R2</f>
        <v>0.83711285518357936</v>
      </c>
      <c r="V2" t="s">
        <v>25</v>
      </c>
      <c r="W2" t="s">
        <v>313</v>
      </c>
      <c r="Y2" t="str" cm="1">
        <f t="array" ref="Y2:Y120">_xlfn.UNIQUE(V2:V160)</f>
        <v>Pteridium_aquilinum</v>
      </c>
      <c r="AB2">
        <f>COUNTA(V2:V160)</f>
        <v>159</v>
      </c>
      <c r="AC2" t="s">
        <v>1190</v>
      </c>
      <c r="AF2" t="s">
        <v>1164</v>
      </c>
      <c r="AG2" t="s">
        <v>1171</v>
      </c>
      <c r="AH2" t="s">
        <v>1179</v>
      </c>
      <c r="AI2" t="s">
        <v>1172</v>
      </c>
      <c r="AK2" t="s">
        <v>1164</v>
      </c>
      <c r="AL2" t="s">
        <v>1171</v>
      </c>
      <c r="AM2" t="s">
        <v>1179</v>
      </c>
      <c r="AN2" t="s">
        <v>1172</v>
      </c>
      <c r="AQ2" t="s">
        <v>27</v>
      </c>
      <c r="AR2" t="s">
        <v>1197</v>
      </c>
      <c r="AS2" t="s">
        <v>1193</v>
      </c>
      <c r="AU2" t="s">
        <v>27</v>
      </c>
      <c r="AV2" t="s">
        <v>1192</v>
      </c>
      <c r="AW2" t="s">
        <v>1193</v>
      </c>
      <c r="AY2" t="s">
        <v>27</v>
      </c>
      <c r="AZ2" t="s">
        <v>1192</v>
      </c>
      <c r="BA2" t="s">
        <v>1193</v>
      </c>
      <c r="BC2" t="s">
        <v>27</v>
      </c>
      <c r="BD2" t="s">
        <v>1192</v>
      </c>
      <c r="BE2" t="s">
        <v>1193</v>
      </c>
      <c r="BG2" t="s">
        <v>27</v>
      </c>
      <c r="BH2" t="s">
        <v>1197</v>
      </c>
      <c r="BI2" t="s">
        <v>1193</v>
      </c>
      <c r="BK2" t="s">
        <v>1205</v>
      </c>
      <c r="BL2" t="s">
        <v>1206</v>
      </c>
      <c r="BM2" t="s">
        <v>1172</v>
      </c>
      <c r="BN2" t="s">
        <v>1173</v>
      </c>
      <c r="BO2" t="s">
        <v>1174</v>
      </c>
      <c r="BP2" t="s">
        <v>1183</v>
      </c>
      <c r="BQ2" t="s">
        <v>1184</v>
      </c>
      <c r="BS2" t="s">
        <v>1207</v>
      </c>
      <c r="BT2" t="s">
        <v>1208</v>
      </c>
      <c r="BU2" t="s">
        <v>1172</v>
      </c>
      <c r="BV2" t="s">
        <v>1173</v>
      </c>
      <c r="BW2" t="s">
        <v>1174</v>
      </c>
      <c r="BX2" t="s">
        <v>1183</v>
      </c>
      <c r="BY2" t="s">
        <v>1184</v>
      </c>
      <c r="CA2" t="s">
        <v>550</v>
      </c>
      <c r="CB2">
        <v>1</v>
      </c>
      <c r="CH2" s="48" t="s">
        <v>1295</v>
      </c>
      <c r="CJ2" s="48" t="s">
        <v>1298</v>
      </c>
      <c r="CK2" s="48" t="s">
        <v>1299</v>
      </c>
      <c r="CN2" t="s">
        <v>1302</v>
      </c>
      <c r="CO2" t="s">
        <v>1298</v>
      </c>
      <c r="CP2" t="s">
        <v>1299</v>
      </c>
      <c r="CS2" t="s">
        <v>1491</v>
      </c>
    </row>
    <row r="3" spans="1:97" x14ac:dyDescent="0.3">
      <c r="A3" s="66"/>
      <c r="B3" t="s">
        <v>37</v>
      </c>
      <c r="C3">
        <v>10</v>
      </c>
      <c r="D3" t="s">
        <v>318</v>
      </c>
      <c r="E3">
        <v>25</v>
      </c>
      <c r="G3">
        <f t="shared" ref="G3:G25" si="0">C3/C$26</f>
        <v>7.2992700729927001E-2</v>
      </c>
      <c r="H3">
        <f t="shared" ref="H3:H25" si="1">LOG(G3)</f>
        <v>-1.1367205671564069</v>
      </c>
      <c r="N3">
        <f t="shared" ref="N3:N19" si="2">E3/E$26</f>
        <v>0.24752475247524752</v>
      </c>
      <c r="O3">
        <f t="shared" ref="O3:O19" si="3">LOG(N3)</f>
        <v>-0.60638136511060492</v>
      </c>
      <c r="V3" t="s">
        <v>37</v>
      </c>
      <c r="W3" t="s">
        <v>318</v>
      </c>
      <c r="Y3" t="str">
        <v>Rubus_fruticosus_L.</v>
      </c>
      <c r="AB3">
        <f>COUNTA(_xlfn.ANCHORARRAY(Y2))</f>
        <v>119</v>
      </c>
      <c r="AC3" t="s">
        <v>1191</v>
      </c>
      <c r="AF3">
        <v>61.764705882352942</v>
      </c>
      <c r="AG3">
        <f>AF3/AF$27</f>
        <v>9.7141364210986084E-2</v>
      </c>
      <c r="AH3">
        <f>LOG(AG3)</f>
        <v>-1.0125958017777119</v>
      </c>
      <c r="AI3">
        <f>-SUMPRODUCT($AG$3:$AG$72,$AH$3:$AH$72)</f>
        <v>1.1932015964545983</v>
      </c>
      <c r="AK3">
        <v>10</v>
      </c>
      <c r="AL3">
        <f>AK3/AK$27</f>
        <v>1.2087165732309571E-2</v>
      </c>
      <c r="AM3">
        <f>LOG(AL3)</f>
        <v>-1.9176755230533673</v>
      </c>
      <c r="AN3">
        <f>-SUMPRODUCT($AL$3:$AL$72,$AM$3:$AM$72)</f>
        <v>0.8615207663831097</v>
      </c>
      <c r="AQ3" t="s">
        <v>43</v>
      </c>
      <c r="AR3">
        <v>2</v>
      </c>
      <c r="AS3">
        <v>7</v>
      </c>
      <c r="AU3" t="s">
        <v>550</v>
      </c>
      <c r="AV3">
        <v>1</v>
      </c>
      <c r="AY3" t="s">
        <v>737</v>
      </c>
      <c r="AZ3">
        <v>2</v>
      </c>
      <c r="BA3">
        <v>5</v>
      </c>
      <c r="BC3" t="s">
        <v>1050</v>
      </c>
      <c r="BD3">
        <v>1</v>
      </c>
      <c r="BE3">
        <v>0</v>
      </c>
      <c r="BG3" t="s">
        <v>550</v>
      </c>
      <c r="BH3">
        <v>1</v>
      </c>
      <c r="BI3">
        <v>0</v>
      </c>
      <c r="BK3">
        <v>5.8139534883720929E-3</v>
      </c>
      <c r="BL3">
        <v>-2.2355284469075487</v>
      </c>
      <c r="BM3">
        <v>1.5421040750985171</v>
      </c>
      <c r="BN3">
        <v>1.7323937598229686</v>
      </c>
      <c r="BO3">
        <v>0.89015794841936113</v>
      </c>
      <c r="BP3">
        <v>4.0427257977285018E-2</v>
      </c>
      <c r="BQ3">
        <v>0.95957274202271503</v>
      </c>
      <c r="BU3">
        <v>1.1387813388372601</v>
      </c>
      <c r="BV3">
        <v>1.7558748556724915</v>
      </c>
      <c r="BW3">
        <v>0.64855495547324327</v>
      </c>
      <c r="BX3">
        <v>0.19924376331345628</v>
      </c>
      <c r="BY3">
        <v>0.80075623668654372</v>
      </c>
      <c r="CA3" t="s">
        <v>528</v>
      </c>
      <c r="CB3">
        <v>4</v>
      </c>
      <c r="CH3" s="66" t="s">
        <v>1165</v>
      </c>
      <c r="CI3" t="s">
        <v>1296</v>
      </c>
      <c r="CJ3">
        <v>24</v>
      </c>
      <c r="CK3">
        <v>18</v>
      </c>
      <c r="CN3" t="s">
        <v>1126</v>
      </c>
      <c r="CO3" t="s">
        <v>29</v>
      </c>
      <c r="CP3" t="s">
        <v>1016</v>
      </c>
      <c r="CS3" t="s">
        <v>1492</v>
      </c>
    </row>
    <row r="4" spans="1:97" x14ac:dyDescent="0.3">
      <c r="A4" s="66"/>
      <c r="B4" t="s">
        <v>43</v>
      </c>
      <c r="C4">
        <v>2</v>
      </c>
      <c r="D4" t="s">
        <v>261</v>
      </c>
      <c r="E4">
        <v>5</v>
      </c>
      <c r="G4">
        <f t="shared" si="0"/>
        <v>1.4598540145985401E-2</v>
      </c>
      <c r="H4">
        <f t="shared" si="1"/>
        <v>-1.8356905714924256</v>
      </c>
      <c r="N4">
        <f t="shared" si="2"/>
        <v>4.9504950495049507E-2</v>
      </c>
      <c r="O4">
        <f t="shared" si="3"/>
        <v>-1.3053513694466237</v>
      </c>
      <c r="V4" t="s">
        <v>43</v>
      </c>
      <c r="W4" t="s">
        <v>261</v>
      </c>
      <c r="Y4" t="str">
        <v>Agrostis_capillaris</v>
      </c>
      <c r="AB4">
        <f>COUNTA(V2:V80)</f>
        <v>79</v>
      </c>
      <c r="AC4" t="s">
        <v>1192</v>
      </c>
      <c r="AF4">
        <v>23.9</v>
      </c>
      <c r="AG4">
        <f t="shared" ref="AG4:AG26" si="4">AF4/AF$27</f>
        <v>3.7589082170403472E-2</v>
      </c>
      <c r="AH4">
        <f t="shared" ref="AH4:AH26" si="5">LOG(AG4)</f>
        <v>-1.4249382785212383</v>
      </c>
      <c r="AI4" t="s">
        <v>1173</v>
      </c>
      <c r="AK4">
        <v>86</v>
      </c>
      <c r="AL4">
        <f t="shared" ref="AL4:AL21" si="6">AK4/AK$27</f>
        <v>0.10394962529786231</v>
      </c>
      <c r="AM4">
        <f t="shared" ref="AM4:AM21" si="7">LOG(AL4)</f>
        <v>-0.98317707180979963</v>
      </c>
      <c r="AN4" t="s">
        <v>1173</v>
      </c>
      <c r="AQ4" t="s">
        <v>231</v>
      </c>
      <c r="AR4">
        <v>4</v>
      </c>
      <c r="AS4">
        <v>0</v>
      </c>
      <c r="AU4" t="s">
        <v>528</v>
      </c>
      <c r="AV4">
        <v>4</v>
      </c>
      <c r="AY4" t="s">
        <v>843</v>
      </c>
      <c r="AZ4">
        <v>1</v>
      </c>
      <c r="BA4">
        <v>1</v>
      </c>
      <c r="BC4" t="s">
        <v>1231</v>
      </c>
      <c r="BD4">
        <v>2</v>
      </c>
      <c r="BE4">
        <v>1</v>
      </c>
      <c r="BG4" t="s">
        <v>528</v>
      </c>
      <c r="BH4">
        <v>4</v>
      </c>
      <c r="BI4">
        <v>0</v>
      </c>
      <c r="BK4">
        <v>2.3255813953488372E-2</v>
      </c>
      <c r="BL4">
        <v>-1.6334684555795866</v>
      </c>
      <c r="CA4" t="s">
        <v>597</v>
      </c>
      <c r="CC4">
        <v>1</v>
      </c>
      <c r="CH4" s="66"/>
      <c r="CI4" t="s">
        <v>1297</v>
      </c>
      <c r="CJ4">
        <v>137</v>
      </c>
      <c r="CK4">
        <v>101</v>
      </c>
      <c r="CN4" t="s">
        <v>1493</v>
      </c>
      <c r="CO4" t="s">
        <v>29</v>
      </c>
      <c r="CP4" t="s">
        <v>29</v>
      </c>
    </row>
    <row r="5" spans="1:97" x14ac:dyDescent="0.3">
      <c r="A5" s="66"/>
      <c r="B5" t="s">
        <v>48</v>
      </c>
      <c r="C5">
        <v>17</v>
      </c>
      <c r="D5" t="s">
        <v>324</v>
      </c>
      <c r="E5">
        <v>2</v>
      </c>
      <c r="G5">
        <f t="shared" si="0"/>
        <v>0.12408759124087591</v>
      </c>
      <c r="H5">
        <f t="shared" si="1"/>
        <v>-0.9062716457781328</v>
      </c>
      <c r="N5">
        <f t="shared" si="2"/>
        <v>1.9801980198019802E-2</v>
      </c>
      <c r="O5">
        <f t="shared" si="3"/>
        <v>-1.7032913781186614</v>
      </c>
      <c r="V5" t="s">
        <v>48</v>
      </c>
      <c r="W5" t="s">
        <v>324</v>
      </c>
      <c r="Y5" t="str">
        <v>Galium_mollugo</v>
      </c>
      <c r="AB5">
        <f>COUNTA(W2:W81)</f>
        <v>80</v>
      </c>
      <c r="AC5" t="s">
        <v>1193</v>
      </c>
      <c r="AF5">
        <v>30</v>
      </c>
      <c r="AG5">
        <f t="shared" si="4"/>
        <v>4.7182948331050384E-2</v>
      </c>
      <c r="AH5">
        <f t="shared" si="5"/>
        <v>-1.3262149247497137</v>
      </c>
      <c r="AI5">
        <f>LOG10(COUNTA(B2:B25))</f>
        <v>1.3802112417116059</v>
      </c>
      <c r="AK5">
        <v>12.4</v>
      </c>
      <c r="AL5">
        <f t="shared" si="6"/>
        <v>1.4988085508063867E-2</v>
      </c>
      <c r="AM5">
        <f t="shared" si="7"/>
        <v>-1.8242538378911324</v>
      </c>
      <c r="AN5">
        <f>LOG10(COUNTA(D2:D25))</f>
        <v>1.255272505103306</v>
      </c>
      <c r="AQ5" t="s">
        <v>167</v>
      </c>
      <c r="AR5">
        <v>10</v>
      </c>
      <c r="AS5">
        <v>0</v>
      </c>
      <c r="AU5" t="s">
        <v>597</v>
      </c>
      <c r="AW5">
        <v>1</v>
      </c>
      <c r="AY5" t="s">
        <v>907</v>
      </c>
      <c r="BA5">
        <v>2</v>
      </c>
      <c r="BC5" t="s">
        <v>1232</v>
      </c>
      <c r="BD5">
        <v>3</v>
      </c>
      <c r="BE5">
        <v>3</v>
      </c>
      <c r="BG5" t="s">
        <v>597</v>
      </c>
      <c r="BH5">
        <v>0</v>
      </c>
      <c r="BI5">
        <v>1</v>
      </c>
      <c r="BS5">
        <v>2.5445292620865142E-3</v>
      </c>
      <c r="BT5">
        <v>-2.5943925503754266</v>
      </c>
      <c r="CA5" t="s">
        <v>578</v>
      </c>
      <c r="CC5">
        <v>2</v>
      </c>
      <c r="CH5" s="66" t="s">
        <v>1167</v>
      </c>
      <c r="CI5" t="s">
        <v>1296</v>
      </c>
      <c r="CJ5">
        <v>22</v>
      </c>
      <c r="CK5">
        <v>33</v>
      </c>
      <c r="CN5" t="s">
        <v>1494</v>
      </c>
      <c r="CO5" t="s">
        <v>29</v>
      </c>
      <c r="CP5" t="s">
        <v>29</v>
      </c>
    </row>
    <row r="6" spans="1:97" x14ac:dyDescent="0.3">
      <c r="A6" s="66"/>
      <c r="B6" t="s">
        <v>58</v>
      </c>
      <c r="C6">
        <v>18</v>
      </c>
      <c r="D6" t="s">
        <v>43</v>
      </c>
      <c r="E6">
        <v>7</v>
      </c>
      <c r="G6">
        <f t="shared" si="0"/>
        <v>0.13138686131386862</v>
      </c>
      <c r="H6">
        <f t="shared" si="1"/>
        <v>-0.88144806205310067</v>
      </c>
      <c r="N6">
        <f t="shared" si="2"/>
        <v>6.9306930693069313E-2</v>
      </c>
      <c r="O6">
        <f t="shared" si="3"/>
        <v>-1.1592233337683857</v>
      </c>
      <c r="V6" t="s">
        <v>58</v>
      </c>
      <c r="W6" t="s">
        <v>43</v>
      </c>
      <c r="Y6" t="str">
        <v>Rhytidadelphus_triquetrus</v>
      </c>
      <c r="AB6">
        <f>AB2-AB3</f>
        <v>40</v>
      </c>
      <c r="AC6" t="s">
        <v>1194</v>
      </c>
      <c r="AF6">
        <v>61.470588235294116</v>
      </c>
      <c r="AG6">
        <f t="shared" si="4"/>
        <v>9.6678786286171867E-2</v>
      </c>
      <c r="AH6">
        <f t="shared" si="5"/>
        <v>-1.0146688104005772</v>
      </c>
      <c r="AI6" t="s">
        <v>1174</v>
      </c>
      <c r="AK6">
        <v>52.5</v>
      </c>
      <c r="AL6">
        <f t="shared" si="6"/>
        <v>6.3457620094625244E-2</v>
      </c>
      <c r="AM6">
        <f t="shared" si="7"/>
        <v>-1.1975162196474105</v>
      </c>
      <c r="AN6" t="s">
        <v>1174</v>
      </c>
      <c r="AQ6" t="s">
        <v>125</v>
      </c>
      <c r="AR6">
        <v>8</v>
      </c>
      <c r="AS6">
        <v>0</v>
      </c>
      <c r="AU6" t="s">
        <v>578</v>
      </c>
      <c r="AW6">
        <v>2</v>
      </c>
      <c r="AY6" t="s">
        <v>995</v>
      </c>
      <c r="AZ6">
        <v>1</v>
      </c>
      <c r="BA6">
        <v>4</v>
      </c>
      <c r="BC6" t="s">
        <v>1212</v>
      </c>
      <c r="BD6">
        <v>2</v>
      </c>
      <c r="BE6">
        <v>1</v>
      </c>
      <c r="BG6" t="s">
        <v>578</v>
      </c>
      <c r="BH6">
        <v>0</v>
      </c>
      <c r="BI6">
        <v>2</v>
      </c>
      <c r="BS6">
        <v>5.0890585241730284E-3</v>
      </c>
      <c r="BT6">
        <v>-2.2933625547114453</v>
      </c>
      <c r="CA6" t="s">
        <v>641</v>
      </c>
      <c r="CB6">
        <v>1</v>
      </c>
      <c r="CH6" s="66"/>
      <c r="CI6" t="s">
        <v>1297</v>
      </c>
      <c r="CJ6">
        <v>80</v>
      </c>
      <c r="CK6">
        <v>329</v>
      </c>
      <c r="CN6" t="s">
        <v>1303</v>
      </c>
      <c r="CO6" t="s">
        <v>29</v>
      </c>
      <c r="CP6" t="s">
        <v>29</v>
      </c>
    </row>
    <row r="7" spans="1:97" x14ac:dyDescent="0.3">
      <c r="A7" s="66"/>
      <c r="B7" t="s">
        <v>62</v>
      </c>
      <c r="C7">
        <v>5</v>
      </c>
      <c r="D7" t="s">
        <v>338</v>
      </c>
      <c r="E7">
        <v>1</v>
      </c>
      <c r="G7">
        <f t="shared" si="0"/>
        <v>3.6496350364963501E-2</v>
      </c>
      <c r="H7">
        <f t="shared" si="1"/>
        <v>-1.4377505628203879</v>
      </c>
      <c r="N7">
        <f t="shared" si="2"/>
        <v>9.9009900990099011E-3</v>
      </c>
      <c r="O7">
        <f t="shared" si="3"/>
        <v>-2.0043213737826426</v>
      </c>
      <c r="V7" t="s">
        <v>62</v>
      </c>
      <c r="W7" t="s">
        <v>338</v>
      </c>
      <c r="Y7" t="str">
        <v>Teucrium_scorodonia</v>
      </c>
      <c r="AF7">
        <v>70.555555555555557</v>
      </c>
      <c r="AG7">
        <f t="shared" si="4"/>
        <v>0.11096730440821109</v>
      </c>
      <c r="AH7">
        <f t="shared" si="5"/>
        <v>-0.95480496361672529</v>
      </c>
      <c r="AI7">
        <f xml:space="preserve"> AI3/AI5</f>
        <v>0.86450650479770319</v>
      </c>
      <c r="AK7">
        <v>3.7142857142857144</v>
      </c>
      <c r="AL7">
        <f t="shared" si="6"/>
        <v>4.489518700572126E-3</v>
      </c>
      <c r="AM7">
        <f t="shared" si="7"/>
        <v>-2.3478002150968065</v>
      </c>
      <c r="AN7">
        <f xml:space="preserve"> AN3/AN5</f>
        <v>0.68632170535130821</v>
      </c>
      <c r="AQ7" t="s">
        <v>358</v>
      </c>
      <c r="AR7">
        <v>0</v>
      </c>
      <c r="AS7">
        <v>6</v>
      </c>
      <c r="AU7" t="s">
        <v>641</v>
      </c>
      <c r="AV7">
        <v>1</v>
      </c>
      <c r="AY7" t="s">
        <v>922</v>
      </c>
      <c r="AZ7">
        <v>1</v>
      </c>
      <c r="BA7">
        <v>1</v>
      </c>
      <c r="BG7" t="s">
        <v>641</v>
      </c>
      <c r="BH7">
        <v>1</v>
      </c>
      <c r="BI7">
        <v>0</v>
      </c>
      <c r="BK7">
        <v>5.8139534883720929E-3</v>
      </c>
      <c r="BL7">
        <v>-2.2355284469075487</v>
      </c>
      <c r="CA7" t="s">
        <v>608</v>
      </c>
      <c r="CC7">
        <v>1</v>
      </c>
      <c r="CH7" s="66" t="s">
        <v>1166</v>
      </c>
      <c r="CI7" t="s">
        <v>1296</v>
      </c>
      <c r="CJ7">
        <v>14</v>
      </c>
      <c r="CK7">
        <v>10</v>
      </c>
      <c r="CN7" t="s">
        <v>1495</v>
      </c>
      <c r="CO7" t="s">
        <v>1016</v>
      </c>
      <c r="CP7" t="s">
        <v>29</v>
      </c>
    </row>
    <row r="8" spans="1:97" x14ac:dyDescent="0.3">
      <c r="A8" s="66"/>
      <c r="B8" t="s">
        <v>67</v>
      </c>
      <c r="C8">
        <v>1</v>
      </c>
      <c r="D8" t="s">
        <v>203</v>
      </c>
      <c r="E8">
        <v>2</v>
      </c>
      <c r="G8">
        <f t="shared" si="0"/>
        <v>7.2992700729927005E-3</v>
      </c>
      <c r="H8">
        <f t="shared" si="1"/>
        <v>-2.1367205671564067</v>
      </c>
      <c r="N8">
        <f t="shared" si="2"/>
        <v>1.9801980198019802E-2</v>
      </c>
      <c r="O8">
        <f t="shared" si="3"/>
        <v>-1.7032913781186614</v>
      </c>
      <c r="V8" t="s">
        <v>67</v>
      </c>
      <c r="W8" t="s">
        <v>203</v>
      </c>
      <c r="Y8" t="str">
        <v>Lonicera_periclymenum</v>
      </c>
      <c r="AB8" t="s">
        <v>1195</v>
      </c>
      <c r="AF8">
        <v>9</v>
      </c>
      <c r="AG8">
        <f t="shared" si="4"/>
        <v>1.4154884499315117E-2</v>
      </c>
      <c r="AH8">
        <f t="shared" si="5"/>
        <v>-1.8490936700300511</v>
      </c>
      <c r="AI8" t="s">
        <v>1183</v>
      </c>
      <c r="AK8">
        <v>40</v>
      </c>
      <c r="AL8">
        <f t="shared" si="6"/>
        <v>4.8348662929238284E-2</v>
      </c>
      <c r="AM8">
        <f t="shared" si="7"/>
        <v>-1.315615531725405</v>
      </c>
      <c r="AN8" t="s">
        <v>1183</v>
      </c>
      <c r="AQ8" t="s">
        <v>998</v>
      </c>
      <c r="AR8">
        <v>1</v>
      </c>
      <c r="AS8">
        <v>0</v>
      </c>
      <c r="AU8" t="s">
        <v>608</v>
      </c>
      <c r="AW8">
        <v>1</v>
      </c>
      <c r="AY8" t="s">
        <v>943</v>
      </c>
      <c r="AZ8">
        <v>5</v>
      </c>
      <c r="BC8" t="s">
        <v>1168</v>
      </c>
      <c r="BD8" s="67" t="s">
        <v>1199</v>
      </c>
      <c r="BE8" s="67"/>
      <c r="BG8" t="s">
        <v>608</v>
      </c>
      <c r="BH8">
        <v>0</v>
      </c>
      <c r="BI8">
        <v>1</v>
      </c>
      <c r="BS8">
        <v>2.5445292620865142E-3</v>
      </c>
      <c r="BT8">
        <v>-2.5943925503754266</v>
      </c>
      <c r="CA8" t="s">
        <v>672</v>
      </c>
      <c r="CB8">
        <v>1</v>
      </c>
      <c r="CH8" s="66"/>
      <c r="CI8" t="s">
        <v>1297</v>
      </c>
      <c r="CJ8">
        <v>27</v>
      </c>
      <c r="CK8">
        <v>26</v>
      </c>
      <c r="CN8" t="s">
        <v>1496</v>
      </c>
      <c r="CO8" t="s">
        <v>29</v>
      </c>
      <c r="CP8" t="s">
        <v>29</v>
      </c>
    </row>
    <row r="9" spans="1:97" x14ac:dyDescent="0.3">
      <c r="A9" s="66"/>
      <c r="B9" t="s">
        <v>97</v>
      </c>
      <c r="C9">
        <v>3</v>
      </c>
      <c r="D9" t="s">
        <v>101</v>
      </c>
      <c r="E9">
        <v>14</v>
      </c>
      <c r="G9">
        <f t="shared" si="0"/>
        <v>2.1897810218978103E-2</v>
      </c>
      <c r="H9">
        <f t="shared" si="1"/>
        <v>-1.6595993124367443</v>
      </c>
      <c r="N9">
        <f t="shared" si="2"/>
        <v>0.13861386138613863</v>
      </c>
      <c r="O9">
        <f t="shared" si="3"/>
        <v>-0.85819333810440446</v>
      </c>
      <c r="V9" t="s">
        <v>97</v>
      </c>
      <c r="W9" t="s">
        <v>101</v>
      </c>
      <c r="Y9" t="str">
        <v>Ranunculus_repens</v>
      </c>
      <c r="AB9">
        <f>(2*AB6)/(AB5+AB4)</f>
        <v>0.50314465408805031</v>
      </c>
      <c r="AF9">
        <v>20</v>
      </c>
      <c r="AG9">
        <f t="shared" si="4"/>
        <v>3.1455298887366923E-2</v>
      </c>
      <c r="AH9">
        <f t="shared" si="5"/>
        <v>-1.5023061838053948</v>
      </c>
      <c r="AI9">
        <f>SUMSQ(AG3:AG26)</f>
        <v>8.0944139878507432E-2</v>
      </c>
      <c r="AK9">
        <v>35</v>
      </c>
      <c r="AL9">
        <f t="shared" si="6"/>
        <v>4.2305080063083499E-2</v>
      </c>
      <c r="AM9">
        <f t="shared" si="7"/>
        <v>-1.3736074787030916</v>
      </c>
      <c r="AN9">
        <f>SUMSQ(AL3:AL26)</f>
        <v>0.2743632965561062</v>
      </c>
      <c r="AQ9" t="s">
        <v>261</v>
      </c>
      <c r="AR9">
        <v>2</v>
      </c>
      <c r="AS9">
        <v>5</v>
      </c>
      <c r="AU9" t="s">
        <v>672</v>
      </c>
      <c r="AV9">
        <v>1</v>
      </c>
      <c r="AY9" t="s">
        <v>940</v>
      </c>
      <c r="AZ9">
        <v>4</v>
      </c>
      <c r="BC9" t="s">
        <v>27</v>
      </c>
      <c r="BD9" t="s">
        <v>1192</v>
      </c>
      <c r="BE9" t="s">
        <v>1193</v>
      </c>
      <c r="BG9" t="s">
        <v>672</v>
      </c>
      <c r="BH9">
        <v>1</v>
      </c>
      <c r="BI9">
        <v>0</v>
      </c>
      <c r="BK9">
        <v>5.8139534883720929E-3</v>
      </c>
      <c r="BL9">
        <v>-2.2355284469075487</v>
      </c>
      <c r="CA9" t="s">
        <v>593</v>
      </c>
      <c r="CB9">
        <v>1</v>
      </c>
      <c r="CC9">
        <v>3</v>
      </c>
      <c r="CD9">
        <v>1</v>
      </c>
      <c r="CH9" s="66" t="s">
        <v>1168</v>
      </c>
      <c r="CI9" t="s">
        <v>1296</v>
      </c>
      <c r="CJ9">
        <v>14</v>
      </c>
      <c r="CK9">
        <v>11</v>
      </c>
      <c r="CN9" t="s">
        <v>1009</v>
      </c>
      <c r="CO9" t="s">
        <v>29</v>
      </c>
      <c r="CP9" t="s">
        <v>29</v>
      </c>
    </row>
    <row r="10" spans="1:97" x14ac:dyDescent="0.3">
      <c r="A10" s="66"/>
      <c r="B10" t="s">
        <v>101</v>
      </c>
      <c r="C10">
        <v>9</v>
      </c>
      <c r="D10" t="s">
        <v>171</v>
      </c>
      <c r="E10">
        <v>10</v>
      </c>
      <c r="G10">
        <f t="shared" si="0"/>
        <v>6.569343065693431E-2</v>
      </c>
      <c r="H10">
        <f t="shared" si="1"/>
        <v>-1.1824780577170819</v>
      </c>
      <c r="N10">
        <f t="shared" si="2"/>
        <v>9.9009900990099015E-2</v>
      </c>
      <c r="O10">
        <f t="shared" si="3"/>
        <v>-1.0043213737826426</v>
      </c>
      <c r="V10" t="s">
        <v>101</v>
      </c>
      <c r="W10" t="s">
        <v>171</v>
      </c>
      <c r="Y10" t="str">
        <v>Potentilla_erecta</v>
      </c>
      <c r="AF10">
        <v>11.666666666666666</v>
      </c>
      <c r="AG10">
        <f t="shared" si="4"/>
        <v>1.8348924350964038E-2</v>
      </c>
      <c r="AH10">
        <f t="shared" si="5"/>
        <v>-1.7363893898387628</v>
      </c>
      <c r="AI10" t="s">
        <v>1184</v>
      </c>
      <c r="AK10">
        <v>14.714285714285714</v>
      </c>
      <c r="AL10">
        <f t="shared" si="6"/>
        <v>1.7785401006112651E-2</v>
      </c>
      <c r="AM10">
        <f t="shared" si="7"/>
        <v>-1.749936338362452</v>
      </c>
      <c r="AN10" t="s">
        <v>1184</v>
      </c>
      <c r="AQ10" t="s">
        <v>144</v>
      </c>
      <c r="AR10">
        <v>2</v>
      </c>
      <c r="AS10">
        <v>0</v>
      </c>
      <c r="AU10" t="s">
        <v>593</v>
      </c>
      <c r="AV10">
        <v>1</v>
      </c>
      <c r="AW10">
        <v>3</v>
      </c>
      <c r="AY10" t="s">
        <v>768</v>
      </c>
      <c r="BA10">
        <v>4</v>
      </c>
      <c r="BC10" t="s">
        <v>1229</v>
      </c>
      <c r="BD10">
        <v>0</v>
      </c>
      <c r="BE10">
        <v>1</v>
      </c>
      <c r="BG10" t="s">
        <v>593</v>
      </c>
      <c r="BH10">
        <v>1</v>
      </c>
      <c r="BI10">
        <v>3</v>
      </c>
      <c r="BJ10">
        <v>1</v>
      </c>
      <c r="BK10">
        <v>5.8139534883720929E-3</v>
      </c>
      <c r="BL10">
        <v>-2.2355284469075487</v>
      </c>
      <c r="BS10">
        <v>7.6335877862595417E-3</v>
      </c>
      <c r="BT10">
        <v>-2.1172712956557644</v>
      </c>
      <c r="CA10" t="s">
        <v>553</v>
      </c>
      <c r="CB10">
        <v>1</v>
      </c>
      <c r="CC10">
        <v>1</v>
      </c>
      <c r="CD10">
        <v>1</v>
      </c>
      <c r="CH10" s="66"/>
      <c r="CI10" t="s">
        <v>1297</v>
      </c>
      <c r="CJ10">
        <v>57</v>
      </c>
      <c r="CK10">
        <v>33</v>
      </c>
      <c r="CN10" t="s">
        <v>1262</v>
      </c>
      <c r="CO10" t="s">
        <v>1016</v>
      </c>
      <c r="CP10" t="s">
        <v>29</v>
      </c>
    </row>
    <row r="11" spans="1:97" x14ac:dyDescent="0.3">
      <c r="A11" s="66"/>
      <c r="B11" t="s">
        <v>119</v>
      </c>
      <c r="C11">
        <v>1</v>
      </c>
      <c r="D11" t="s">
        <v>358</v>
      </c>
      <c r="E11">
        <v>6</v>
      </c>
      <c r="G11">
        <f t="shared" si="0"/>
        <v>7.2992700729927005E-3</v>
      </c>
      <c r="H11">
        <f t="shared" si="1"/>
        <v>-2.1367205671564067</v>
      </c>
      <c r="N11">
        <f t="shared" si="2"/>
        <v>5.9405940594059403E-2</v>
      </c>
      <c r="O11">
        <f t="shared" si="3"/>
        <v>-1.226170123398999</v>
      </c>
      <c r="V11" t="s">
        <v>119</v>
      </c>
      <c r="W11" t="s">
        <v>358</v>
      </c>
      <c r="Y11" t="str">
        <v>Ulex_europaeus</v>
      </c>
      <c r="AF11">
        <v>5.5555555555555554</v>
      </c>
      <c r="AG11">
        <f t="shared" si="4"/>
        <v>8.737583024268589E-3</v>
      </c>
      <c r="AH11">
        <f t="shared" si="5"/>
        <v>-2.0586086845726821</v>
      </c>
      <c r="AI11">
        <f>1-AI9</f>
        <v>0.91905586012149254</v>
      </c>
      <c r="AK11">
        <v>6</v>
      </c>
      <c r="AL11">
        <f t="shared" si="6"/>
        <v>7.2522994393857424E-3</v>
      </c>
      <c r="AM11">
        <f t="shared" si="7"/>
        <v>-2.1395242726697239</v>
      </c>
      <c r="AN11">
        <f>1-AN9</f>
        <v>0.72563670344389375</v>
      </c>
      <c r="AQ11" t="s">
        <v>177</v>
      </c>
      <c r="AR11">
        <v>1</v>
      </c>
      <c r="AS11">
        <v>0</v>
      </c>
      <c r="AU11" t="s">
        <v>553</v>
      </c>
      <c r="AV11">
        <v>1</v>
      </c>
      <c r="AW11">
        <v>1</v>
      </c>
      <c r="AY11" t="s">
        <v>611</v>
      </c>
      <c r="AZ11">
        <v>1</v>
      </c>
      <c r="BA11">
        <v>1</v>
      </c>
      <c r="BC11" t="s">
        <v>1213</v>
      </c>
      <c r="BD11">
        <v>3</v>
      </c>
      <c r="BE11">
        <v>0</v>
      </c>
      <c r="BG11" t="s">
        <v>553</v>
      </c>
      <c r="BH11">
        <v>1</v>
      </c>
      <c r="BI11">
        <v>1</v>
      </c>
      <c r="BJ11">
        <v>1</v>
      </c>
      <c r="BK11">
        <v>5.8139534883720929E-3</v>
      </c>
      <c r="BL11">
        <v>-2.2355284469075487</v>
      </c>
      <c r="BS11">
        <v>2.5445292620865142E-3</v>
      </c>
      <c r="BT11">
        <v>-2.5943925503754266</v>
      </c>
      <c r="CA11" t="s">
        <v>556</v>
      </c>
      <c r="CB11">
        <v>1</v>
      </c>
      <c r="CH11" s="66" t="s">
        <v>1169</v>
      </c>
      <c r="CI11" t="s">
        <v>1296</v>
      </c>
      <c r="CJ11">
        <v>4</v>
      </c>
      <c r="CK11">
        <v>3</v>
      </c>
      <c r="CN11" t="s">
        <v>1267</v>
      </c>
      <c r="CO11" t="s">
        <v>1016</v>
      </c>
      <c r="CP11" t="s">
        <v>29</v>
      </c>
    </row>
    <row r="12" spans="1:97" x14ac:dyDescent="0.3">
      <c r="A12" s="66"/>
      <c r="B12" t="s">
        <v>125</v>
      </c>
      <c r="C12">
        <v>8</v>
      </c>
      <c r="D12" t="s">
        <v>25</v>
      </c>
      <c r="E12">
        <v>12</v>
      </c>
      <c r="G12">
        <f t="shared" si="0"/>
        <v>5.8394160583941604E-2</v>
      </c>
      <c r="H12">
        <f t="shared" si="1"/>
        <v>-1.2336305801644631</v>
      </c>
      <c r="N12">
        <f t="shared" si="2"/>
        <v>0.11881188118811881</v>
      </c>
      <c r="O12">
        <f t="shared" si="3"/>
        <v>-0.92514012773501775</v>
      </c>
      <c r="V12" t="s">
        <v>125</v>
      </c>
      <c r="W12" t="s">
        <v>25</v>
      </c>
      <c r="Y12" t="str">
        <v>Calluna_vulgaris</v>
      </c>
      <c r="AF12">
        <v>10</v>
      </c>
      <c r="AG12">
        <f t="shared" si="4"/>
        <v>1.5727649443683461E-2</v>
      </c>
      <c r="AH12">
        <f t="shared" si="5"/>
        <v>-1.8033361794693761</v>
      </c>
      <c r="AI12" t="s">
        <v>1187</v>
      </c>
      <c r="AK12">
        <v>17.833333333333332</v>
      </c>
      <c r="AL12">
        <f t="shared" si="6"/>
        <v>2.1555445555952065E-2</v>
      </c>
      <c r="AM12">
        <f t="shared" si="7"/>
        <v>-1.6664429957518014</v>
      </c>
      <c r="AN12" t="s">
        <v>1187</v>
      </c>
      <c r="AQ12" t="s">
        <v>130</v>
      </c>
      <c r="AR12">
        <v>9</v>
      </c>
      <c r="AS12">
        <v>0</v>
      </c>
      <c r="AU12" t="s">
        <v>556</v>
      </c>
      <c r="AV12">
        <v>1</v>
      </c>
      <c r="AY12" t="s">
        <v>616</v>
      </c>
      <c r="AZ12">
        <v>10</v>
      </c>
      <c r="BA12">
        <v>18</v>
      </c>
      <c r="BC12" t="s">
        <v>1214</v>
      </c>
      <c r="BD12">
        <v>6</v>
      </c>
      <c r="BE12">
        <v>9</v>
      </c>
      <c r="BG12" t="s">
        <v>556</v>
      </c>
      <c r="BH12">
        <v>1</v>
      </c>
      <c r="BI12">
        <v>0</v>
      </c>
      <c r="BK12">
        <v>5.8139534883720929E-3</v>
      </c>
      <c r="BL12">
        <v>-2.2355284469075487</v>
      </c>
      <c r="CA12" t="s">
        <v>547</v>
      </c>
      <c r="CB12">
        <v>1</v>
      </c>
      <c r="CH12" s="66"/>
      <c r="CI12" t="s">
        <v>1297</v>
      </c>
      <c r="CJ12">
        <v>8</v>
      </c>
      <c r="CK12">
        <v>5</v>
      </c>
      <c r="CN12" t="s">
        <v>1251</v>
      </c>
      <c r="CO12" t="s">
        <v>29</v>
      </c>
      <c r="CP12" t="s">
        <v>29</v>
      </c>
    </row>
    <row r="13" spans="1:97" x14ac:dyDescent="0.3">
      <c r="A13" s="66"/>
      <c r="B13" t="s">
        <v>130</v>
      </c>
      <c r="C13">
        <v>9</v>
      </c>
      <c r="D13" t="s">
        <v>378</v>
      </c>
      <c r="E13">
        <v>1</v>
      </c>
      <c r="G13">
        <f t="shared" si="0"/>
        <v>6.569343065693431E-2</v>
      </c>
      <c r="H13">
        <f t="shared" si="1"/>
        <v>-1.1824780577170819</v>
      </c>
      <c r="N13">
        <f t="shared" si="2"/>
        <v>9.9009900990099011E-3</v>
      </c>
      <c r="O13">
        <f t="shared" si="3"/>
        <v>-2.0043213737826426</v>
      </c>
      <c r="V13" t="s">
        <v>130</v>
      </c>
      <c r="W13" t="s">
        <v>378</v>
      </c>
      <c r="Y13" t="str">
        <v>Erica_cinerea</v>
      </c>
      <c r="AF13">
        <v>75.625</v>
      </c>
      <c r="AG13">
        <f t="shared" si="4"/>
        <v>0.11894034891785618</v>
      </c>
      <c r="AH13">
        <f t="shared" si="5"/>
        <v>-0.9246707918088507</v>
      </c>
      <c r="AI13" cm="1">
        <f t="array" ref="AI13">SUMPRODUCT(AF3:AF26, AF3:AF26-1)/(AF27*(AF27-1))</f>
        <v>7.9496404091697864E-2</v>
      </c>
      <c r="AK13">
        <v>27.333333333333332</v>
      </c>
      <c r="AL13">
        <f t="shared" si="6"/>
        <v>3.3038253001646159E-2</v>
      </c>
      <c r="AM13">
        <f t="shared" si="7"/>
        <v>-1.4809829253893132</v>
      </c>
      <c r="AN13" cm="1">
        <f t="array" ref="AN13">SUMPRODUCT(AK3:AK26, AK3:AK26-1)/(AK27*(AK27-1))</f>
        <v>0.27348514601139168</v>
      </c>
      <c r="AQ13" t="s">
        <v>48</v>
      </c>
      <c r="AR13">
        <v>17</v>
      </c>
      <c r="AS13">
        <v>0</v>
      </c>
      <c r="AU13" t="s">
        <v>547</v>
      </c>
      <c r="AV13">
        <v>1</v>
      </c>
      <c r="AY13" t="s">
        <v>984</v>
      </c>
      <c r="BA13">
        <v>2</v>
      </c>
      <c r="BC13" t="s">
        <v>1215</v>
      </c>
      <c r="BD13">
        <v>4</v>
      </c>
      <c r="BE13">
        <v>2</v>
      </c>
      <c r="BG13" t="s">
        <v>547</v>
      </c>
      <c r="BH13">
        <v>1</v>
      </c>
      <c r="BI13">
        <v>0</v>
      </c>
      <c r="BK13">
        <v>5.8139534883720929E-3</v>
      </c>
      <c r="BL13">
        <v>-2.2355284469075487</v>
      </c>
      <c r="CA13" t="s">
        <v>540</v>
      </c>
      <c r="CB13">
        <v>1</v>
      </c>
      <c r="CH13" s="66" t="s">
        <v>1300</v>
      </c>
      <c r="CI13" t="s">
        <v>1296</v>
      </c>
      <c r="CJ13">
        <v>2</v>
      </c>
      <c r="CK13">
        <v>5</v>
      </c>
      <c r="CN13" t="s">
        <v>1237</v>
      </c>
      <c r="CO13" t="s">
        <v>29</v>
      </c>
      <c r="CP13" t="s">
        <v>29</v>
      </c>
    </row>
    <row r="14" spans="1:97" x14ac:dyDescent="0.3">
      <c r="A14" s="66"/>
      <c r="B14" t="s">
        <v>144</v>
      </c>
      <c r="C14">
        <v>2</v>
      </c>
      <c r="D14" t="s">
        <v>384</v>
      </c>
      <c r="E14">
        <v>1</v>
      </c>
      <c r="G14">
        <f t="shared" si="0"/>
        <v>1.4598540145985401E-2</v>
      </c>
      <c r="H14">
        <f t="shared" si="1"/>
        <v>-1.8356905714924256</v>
      </c>
      <c r="N14">
        <f t="shared" si="2"/>
        <v>9.9009900990099011E-3</v>
      </c>
      <c r="O14">
        <f t="shared" si="3"/>
        <v>-2.0043213737826426</v>
      </c>
      <c r="V14" t="s">
        <v>144</v>
      </c>
      <c r="W14" t="s">
        <v>384</v>
      </c>
      <c r="Y14" t="str">
        <v>Dicranum_scoparium</v>
      </c>
      <c r="AF14">
        <v>21.666666666666668</v>
      </c>
      <c r="AG14">
        <f t="shared" si="4"/>
        <v>3.4076573794647499E-2</v>
      </c>
      <c r="AH14">
        <f t="shared" si="5"/>
        <v>-1.467544077546183</v>
      </c>
      <c r="AI14" t="s">
        <v>1188</v>
      </c>
      <c r="AK14">
        <v>10</v>
      </c>
      <c r="AL14">
        <f t="shared" si="6"/>
        <v>1.2087165732309571E-2</v>
      </c>
      <c r="AM14">
        <f t="shared" si="7"/>
        <v>-1.9176755230533673</v>
      </c>
      <c r="AN14" t="s">
        <v>1188</v>
      </c>
      <c r="AQ14" t="s">
        <v>394</v>
      </c>
      <c r="AR14">
        <v>0</v>
      </c>
      <c r="AS14">
        <v>6</v>
      </c>
      <c r="AU14" t="s">
        <v>540</v>
      </c>
      <c r="AV14">
        <v>1</v>
      </c>
      <c r="AY14" t="s">
        <v>976</v>
      </c>
      <c r="BA14">
        <v>1</v>
      </c>
      <c r="BC14" t="s">
        <v>1216</v>
      </c>
      <c r="BD14">
        <v>0</v>
      </c>
      <c r="BE14">
        <v>1</v>
      </c>
      <c r="BG14" t="s">
        <v>540</v>
      </c>
      <c r="BH14">
        <v>1</v>
      </c>
      <c r="BI14">
        <v>0</v>
      </c>
      <c r="BK14">
        <v>5.8139534883720929E-3</v>
      </c>
      <c r="BL14">
        <v>-2.2355284469075487</v>
      </c>
      <c r="CA14" t="s">
        <v>657</v>
      </c>
      <c r="CB14">
        <v>1</v>
      </c>
      <c r="CC14">
        <v>1</v>
      </c>
      <c r="CD14">
        <v>1</v>
      </c>
      <c r="CH14" s="66"/>
      <c r="CI14" t="s">
        <v>1297</v>
      </c>
      <c r="CJ14">
        <v>7</v>
      </c>
      <c r="CK14">
        <v>15</v>
      </c>
      <c r="CN14" t="s">
        <v>1277</v>
      </c>
      <c r="CO14" t="s">
        <v>1016</v>
      </c>
      <c r="CP14" t="s">
        <v>29</v>
      </c>
    </row>
    <row r="15" spans="1:97" x14ac:dyDescent="0.3">
      <c r="A15" s="66"/>
      <c r="B15" t="s">
        <v>167</v>
      </c>
      <c r="C15">
        <v>10</v>
      </c>
      <c r="D15" t="s">
        <v>394</v>
      </c>
      <c r="E15">
        <v>6</v>
      </c>
      <c r="G15">
        <f t="shared" si="0"/>
        <v>7.2992700729927001E-2</v>
      </c>
      <c r="H15">
        <f t="shared" si="1"/>
        <v>-1.1367205671564069</v>
      </c>
      <c r="N15">
        <f t="shared" si="2"/>
        <v>5.9405940594059403E-2</v>
      </c>
      <c r="O15">
        <f t="shared" si="3"/>
        <v>-1.226170123398999</v>
      </c>
      <c r="V15" t="s">
        <v>167</v>
      </c>
      <c r="W15" t="s">
        <v>394</v>
      </c>
      <c r="Y15" t="str">
        <v>Avenella_flexuosa</v>
      </c>
      <c r="AF15">
        <v>10</v>
      </c>
      <c r="AG15">
        <f t="shared" si="4"/>
        <v>1.5727649443683461E-2</v>
      </c>
      <c r="AH15">
        <f t="shared" si="5"/>
        <v>-1.8033361794693761</v>
      </c>
      <c r="AI15">
        <f>1-AI13</f>
        <v>0.92050359590830211</v>
      </c>
      <c r="AK15">
        <v>5</v>
      </c>
      <c r="AL15">
        <f t="shared" si="6"/>
        <v>6.0435828661547855E-3</v>
      </c>
      <c r="AM15">
        <f t="shared" si="7"/>
        <v>-2.2187055187173486</v>
      </c>
      <c r="AN15">
        <f>1-AN13</f>
        <v>0.72651485398860838</v>
      </c>
      <c r="AQ15" t="s">
        <v>171</v>
      </c>
      <c r="AR15">
        <v>11</v>
      </c>
      <c r="AS15">
        <v>10</v>
      </c>
      <c r="AU15" t="s">
        <v>657</v>
      </c>
      <c r="AV15">
        <v>1</v>
      </c>
      <c r="AW15">
        <v>1</v>
      </c>
      <c r="AY15" t="s">
        <v>774</v>
      </c>
      <c r="BA15">
        <v>2</v>
      </c>
      <c r="BC15" t="s">
        <v>1217</v>
      </c>
      <c r="BD15">
        <v>16</v>
      </c>
      <c r="BE15">
        <v>0</v>
      </c>
      <c r="BG15" t="s">
        <v>657</v>
      </c>
      <c r="BH15">
        <v>1</v>
      </c>
      <c r="BI15">
        <v>1</v>
      </c>
      <c r="BJ15">
        <v>1</v>
      </c>
      <c r="BK15">
        <v>5.8139534883720929E-3</v>
      </c>
      <c r="BL15">
        <v>-2.2355284469075487</v>
      </c>
      <c r="BS15">
        <v>2.5445292620865142E-3</v>
      </c>
      <c r="BT15">
        <v>-2.5943925503754266</v>
      </c>
      <c r="CA15" t="s">
        <v>571</v>
      </c>
      <c r="CC15">
        <v>1</v>
      </c>
    </row>
    <row r="16" spans="1:97" x14ac:dyDescent="0.3">
      <c r="A16" s="66"/>
      <c r="B16" t="s">
        <v>171</v>
      </c>
      <c r="C16">
        <v>11</v>
      </c>
      <c r="D16" t="s">
        <v>408</v>
      </c>
      <c r="E16">
        <v>2</v>
      </c>
      <c r="G16">
        <f t="shared" si="0"/>
        <v>8.0291970802919707E-2</v>
      </c>
      <c r="H16">
        <f t="shared" si="1"/>
        <v>-1.0953278819981818</v>
      </c>
      <c r="N16">
        <f t="shared" si="2"/>
        <v>1.9801980198019802E-2</v>
      </c>
      <c r="O16">
        <f t="shared" si="3"/>
        <v>-1.7032913781186614</v>
      </c>
      <c r="V16" t="s">
        <v>171</v>
      </c>
      <c r="W16" t="s">
        <v>408</v>
      </c>
      <c r="Y16" t="str">
        <v>Holcus_lanatus</v>
      </c>
      <c r="AF16">
        <v>54.8</v>
      </c>
      <c r="AG16">
        <f t="shared" si="4"/>
        <v>8.6187518951385364E-2</v>
      </c>
      <c r="AH16">
        <f t="shared" si="5"/>
        <v>-1.0645556209850069</v>
      </c>
      <c r="AK16">
        <v>26.666666666666668</v>
      </c>
      <c r="AL16">
        <f t="shared" si="6"/>
        <v>3.223244195282552E-2</v>
      </c>
      <c r="AM16">
        <f t="shared" si="7"/>
        <v>-1.4917067907810861</v>
      </c>
      <c r="AQ16" t="s">
        <v>292</v>
      </c>
      <c r="AR16">
        <v>1</v>
      </c>
      <c r="AS16">
        <v>0</v>
      </c>
      <c r="AU16" t="s">
        <v>571</v>
      </c>
      <c r="AW16">
        <v>1</v>
      </c>
      <c r="AY16" t="s">
        <v>947</v>
      </c>
      <c r="AZ16">
        <v>2</v>
      </c>
      <c r="BA16">
        <v>3</v>
      </c>
      <c r="BC16" t="s">
        <v>1218</v>
      </c>
      <c r="BD16">
        <v>16</v>
      </c>
      <c r="BE16">
        <v>5</v>
      </c>
      <c r="BG16" t="s">
        <v>571</v>
      </c>
      <c r="BH16">
        <v>0</v>
      </c>
      <c r="BI16">
        <v>1</v>
      </c>
      <c r="BS16">
        <v>2.5445292620865142E-3</v>
      </c>
      <c r="BT16">
        <v>-2.5943925503754266</v>
      </c>
      <c r="CA16" t="s">
        <v>623</v>
      </c>
      <c r="CB16">
        <v>1</v>
      </c>
      <c r="CI16" t="s">
        <v>1294</v>
      </c>
      <c r="CJ16">
        <f>CJ13+CJ11+CJ9+CJ7+CJ5+CJ3</f>
        <v>80</v>
      </c>
      <c r="CK16">
        <f>CK13+CK11+CK9+CK7+CK5+CK3</f>
        <v>80</v>
      </c>
    </row>
    <row r="17" spans="1:92" x14ac:dyDescent="0.3">
      <c r="A17" s="66"/>
      <c r="B17" t="s">
        <v>177</v>
      </c>
      <c r="C17">
        <v>1</v>
      </c>
      <c r="D17" t="s">
        <v>272</v>
      </c>
      <c r="E17">
        <v>2</v>
      </c>
      <c r="G17">
        <f t="shared" si="0"/>
        <v>7.2992700729927005E-3</v>
      </c>
      <c r="H17">
        <f t="shared" si="1"/>
        <v>-2.1367205671564067</v>
      </c>
      <c r="N17">
        <f t="shared" si="2"/>
        <v>1.9801980198019802E-2</v>
      </c>
      <c r="O17">
        <f t="shared" si="3"/>
        <v>-1.7032913781186614</v>
      </c>
      <c r="V17" t="s">
        <v>177</v>
      </c>
      <c r="W17" t="s">
        <v>272</v>
      </c>
      <c r="Y17" t="str">
        <v>Digitalis_purpurea</v>
      </c>
      <c r="AF17">
        <v>24.818181818181817</v>
      </c>
      <c r="AG17">
        <f t="shared" si="4"/>
        <v>3.9033166346596225E-2</v>
      </c>
      <c r="AH17">
        <f t="shared" si="5"/>
        <v>-1.408566217586845</v>
      </c>
      <c r="AK17">
        <v>15</v>
      </c>
      <c r="AL17">
        <f t="shared" si="6"/>
        <v>1.8130748598464357E-2</v>
      </c>
      <c r="AM17">
        <f t="shared" si="7"/>
        <v>-1.7415842639976862</v>
      </c>
      <c r="AQ17" t="s">
        <v>203</v>
      </c>
      <c r="AR17">
        <v>1</v>
      </c>
      <c r="AS17">
        <v>2</v>
      </c>
      <c r="AU17" t="s">
        <v>623</v>
      </c>
      <c r="AV17">
        <v>1</v>
      </c>
      <c r="AY17" t="s">
        <v>834</v>
      </c>
      <c r="BA17">
        <v>1</v>
      </c>
      <c r="BC17" t="s">
        <v>1219</v>
      </c>
      <c r="BD17">
        <v>0</v>
      </c>
      <c r="BE17">
        <v>4</v>
      </c>
      <c r="BG17" t="s">
        <v>623</v>
      </c>
      <c r="BH17">
        <v>1</v>
      </c>
      <c r="BI17">
        <v>0</v>
      </c>
      <c r="BK17">
        <v>5.8139534883720929E-3</v>
      </c>
      <c r="BL17">
        <v>-2.2355284469075487</v>
      </c>
      <c r="CA17" t="s">
        <v>600</v>
      </c>
      <c r="CC17">
        <v>1</v>
      </c>
      <c r="CI17" t="s">
        <v>1301</v>
      </c>
      <c r="CJ17">
        <f>CJ14+CJ12+CJ10+CJ8+CJ6+CJ4</f>
        <v>316</v>
      </c>
      <c r="CK17">
        <f>CK14+CK12+CK10+CK8+CK6+CK4</f>
        <v>509</v>
      </c>
      <c r="CN17" t="s">
        <v>1497</v>
      </c>
    </row>
    <row r="18" spans="1:92" x14ac:dyDescent="0.3">
      <c r="A18" s="66"/>
      <c r="B18" t="s">
        <v>203</v>
      </c>
      <c r="C18">
        <v>1</v>
      </c>
      <c r="D18" t="s">
        <v>459</v>
      </c>
      <c r="E18">
        <v>1</v>
      </c>
      <c r="G18">
        <f t="shared" si="0"/>
        <v>7.2992700729927005E-3</v>
      </c>
      <c r="H18">
        <f t="shared" si="1"/>
        <v>-2.1367205671564067</v>
      </c>
      <c r="N18">
        <f t="shared" si="2"/>
        <v>9.9009900990099011E-3</v>
      </c>
      <c r="O18">
        <f t="shared" si="3"/>
        <v>-2.0043213737826426</v>
      </c>
      <c r="V18" t="s">
        <v>203</v>
      </c>
      <c r="W18" t="s">
        <v>459</v>
      </c>
      <c r="Y18" t="str">
        <v>Juncus_effusus</v>
      </c>
      <c r="AF18">
        <v>5</v>
      </c>
      <c r="AG18">
        <f t="shared" si="4"/>
        <v>7.8638247218417306E-3</v>
      </c>
      <c r="AH18">
        <f t="shared" si="5"/>
        <v>-2.1043661751333573</v>
      </c>
      <c r="AK18">
        <v>14</v>
      </c>
      <c r="AL18">
        <f t="shared" si="6"/>
        <v>1.6922032025233399E-2</v>
      </c>
      <c r="AM18">
        <f t="shared" si="7"/>
        <v>-1.7715474873751293</v>
      </c>
      <c r="AQ18" t="s">
        <v>338</v>
      </c>
      <c r="AR18">
        <v>0</v>
      </c>
      <c r="AS18">
        <v>1</v>
      </c>
      <c r="AU18" t="s">
        <v>600</v>
      </c>
      <c r="AW18">
        <v>1</v>
      </c>
      <c r="AY18" t="s">
        <v>677</v>
      </c>
      <c r="AZ18">
        <v>3</v>
      </c>
      <c r="BA18">
        <v>23</v>
      </c>
      <c r="BC18" t="s">
        <v>1220</v>
      </c>
      <c r="BD18">
        <v>2</v>
      </c>
      <c r="BE18">
        <v>0</v>
      </c>
      <c r="BG18" t="s">
        <v>600</v>
      </c>
      <c r="BH18">
        <v>0</v>
      </c>
      <c r="BI18">
        <v>1</v>
      </c>
      <c r="BS18">
        <v>2.5445292620865142E-3</v>
      </c>
      <c r="BT18">
        <v>-2.5943925503754266</v>
      </c>
      <c r="CA18" t="s">
        <v>563</v>
      </c>
      <c r="CB18">
        <v>2</v>
      </c>
      <c r="CC18">
        <v>3</v>
      </c>
      <c r="CD18">
        <v>1</v>
      </c>
    </row>
    <row r="19" spans="1:92" x14ac:dyDescent="0.3">
      <c r="A19" s="66"/>
      <c r="B19" t="s">
        <v>998</v>
      </c>
      <c r="C19">
        <v>1</v>
      </c>
      <c r="D19" t="s">
        <v>482</v>
      </c>
      <c r="E19">
        <v>2</v>
      </c>
      <c r="G19">
        <f t="shared" si="0"/>
        <v>7.2992700729927005E-3</v>
      </c>
      <c r="H19">
        <f t="shared" si="1"/>
        <v>-2.1367205671564067</v>
      </c>
      <c r="N19">
        <f t="shared" si="2"/>
        <v>1.9801980198019802E-2</v>
      </c>
      <c r="O19">
        <f t="shared" si="3"/>
        <v>-1.7032913781186614</v>
      </c>
      <c r="V19" t="s">
        <v>998</v>
      </c>
      <c r="W19" t="s">
        <v>482</v>
      </c>
      <c r="Y19" t="str">
        <v>Cerastium_fontanum</v>
      </c>
      <c r="AF19">
        <v>5</v>
      </c>
      <c r="AG19">
        <f t="shared" si="4"/>
        <v>7.8638247218417306E-3</v>
      </c>
      <c r="AH19">
        <f t="shared" si="5"/>
        <v>-2.1043661751333573</v>
      </c>
      <c r="AK19">
        <v>10</v>
      </c>
      <c r="AL19">
        <f t="shared" si="6"/>
        <v>1.2087165732309571E-2</v>
      </c>
      <c r="AM19">
        <f t="shared" si="7"/>
        <v>-1.9176755230533673</v>
      </c>
      <c r="AQ19" t="s">
        <v>67</v>
      </c>
      <c r="AR19">
        <v>1</v>
      </c>
      <c r="AS19">
        <v>0</v>
      </c>
      <c r="AU19" t="s">
        <v>563</v>
      </c>
      <c r="AV19">
        <v>2</v>
      </c>
      <c r="AW19">
        <v>3</v>
      </c>
      <c r="AY19" t="s">
        <v>990</v>
      </c>
      <c r="BA19">
        <v>2</v>
      </c>
      <c r="BC19" t="s">
        <v>1221</v>
      </c>
      <c r="BD19">
        <v>1</v>
      </c>
      <c r="BE19">
        <v>0</v>
      </c>
      <c r="BG19" t="s">
        <v>563</v>
      </c>
      <c r="BH19">
        <v>2</v>
      </c>
      <c r="BI19">
        <v>3</v>
      </c>
      <c r="BJ19">
        <v>1</v>
      </c>
      <c r="BK19">
        <v>1.1627906976744186E-2</v>
      </c>
      <c r="BL19">
        <v>-1.9344984512435677</v>
      </c>
      <c r="BS19">
        <v>7.6335877862595417E-3</v>
      </c>
      <c r="BT19">
        <v>-2.1172712956557644</v>
      </c>
      <c r="CA19" t="s">
        <v>537</v>
      </c>
      <c r="CB19">
        <v>10</v>
      </c>
      <c r="CC19">
        <v>12</v>
      </c>
      <c r="CD19">
        <v>1</v>
      </c>
    </row>
    <row r="20" spans="1:92" x14ac:dyDescent="0.3">
      <c r="A20" s="66"/>
      <c r="B20" t="s">
        <v>231</v>
      </c>
      <c r="C20">
        <v>4</v>
      </c>
      <c r="G20">
        <f t="shared" si="0"/>
        <v>2.9197080291970802E-2</v>
      </c>
      <c r="H20">
        <f t="shared" si="1"/>
        <v>-1.5346605758284444</v>
      </c>
      <c r="V20" t="s">
        <v>231</v>
      </c>
      <c r="W20" t="s">
        <v>537</v>
      </c>
      <c r="Y20" t="str">
        <v>Anthoxanthum_odoratum</v>
      </c>
      <c r="AF20">
        <v>5</v>
      </c>
      <c r="AG20">
        <f t="shared" si="4"/>
        <v>7.8638247218417306E-3</v>
      </c>
      <c r="AH20">
        <f t="shared" si="5"/>
        <v>-2.1043661751333573</v>
      </c>
      <c r="AK20">
        <v>27.5</v>
      </c>
      <c r="AL20">
        <f t="shared" si="6"/>
        <v>3.3239705763851317E-2</v>
      </c>
      <c r="AM20">
        <f t="shared" si="7"/>
        <v>-1.4783428292231047</v>
      </c>
      <c r="AQ20" t="s">
        <v>999</v>
      </c>
      <c r="AR20">
        <v>1</v>
      </c>
      <c r="AS20">
        <v>0</v>
      </c>
      <c r="AU20" t="s">
        <v>537</v>
      </c>
      <c r="AV20">
        <v>10</v>
      </c>
      <c r="AW20">
        <v>12</v>
      </c>
      <c r="AY20" t="s">
        <v>884</v>
      </c>
      <c r="AZ20">
        <v>7</v>
      </c>
      <c r="BC20" t="s">
        <v>1222</v>
      </c>
      <c r="BD20">
        <v>1</v>
      </c>
      <c r="BE20">
        <v>1</v>
      </c>
      <c r="BG20" t="s">
        <v>537</v>
      </c>
      <c r="BH20">
        <v>10</v>
      </c>
      <c r="BI20">
        <v>12</v>
      </c>
      <c r="BJ20">
        <v>1</v>
      </c>
      <c r="BK20">
        <v>5.8139534883720929E-2</v>
      </c>
      <c r="BL20">
        <v>-1.2355284469075489</v>
      </c>
      <c r="BS20">
        <v>3.0534351145038167E-2</v>
      </c>
      <c r="BT20">
        <v>-1.5152113043278019</v>
      </c>
      <c r="CA20" t="s">
        <v>559</v>
      </c>
      <c r="CB20">
        <v>1</v>
      </c>
    </row>
    <row r="21" spans="1:92" x14ac:dyDescent="0.3">
      <c r="A21" s="66"/>
      <c r="B21" t="s">
        <v>261</v>
      </c>
      <c r="C21">
        <v>2</v>
      </c>
      <c r="G21">
        <f t="shared" si="0"/>
        <v>1.4598540145985401E-2</v>
      </c>
      <c r="H21">
        <f t="shared" si="1"/>
        <v>-1.8356905714924256</v>
      </c>
      <c r="V21" t="s">
        <v>261</v>
      </c>
      <c r="W21" t="s">
        <v>593</v>
      </c>
      <c r="Y21" t="str">
        <v>Deschampsia_cespitosa</v>
      </c>
      <c r="AF21">
        <v>25</v>
      </c>
      <c r="AG21">
        <f t="shared" si="4"/>
        <v>3.9319123609208653E-2</v>
      </c>
      <c r="AH21">
        <f t="shared" si="5"/>
        <v>-1.4053961707973384</v>
      </c>
      <c r="AK21">
        <v>413.66190476190474</v>
      </c>
      <c r="AL21">
        <f t="shared" si="6"/>
        <v>0.5</v>
      </c>
      <c r="AM21">
        <f t="shared" si="7"/>
        <v>-0.3010299956639812</v>
      </c>
      <c r="AQ21" t="s">
        <v>378</v>
      </c>
      <c r="AR21">
        <v>0</v>
      </c>
      <c r="AS21">
        <v>1</v>
      </c>
      <c r="AU21" t="s">
        <v>559</v>
      </c>
      <c r="AV21">
        <v>1</v>
      </c>
      <c r="AY21" t="s">
        <v>757</v>
      </c>
      <c r="BA21">
        <v>1</v>
      </c>
      <c r="BC21" t="s">
        <v>1223</v>
      </c>
      <c r="BD21">
        <v>1</v>
      </c>
      <c r="BE21">
        <v>1</v>
      </c>
      <c r="BG21" t="s">
        <v>559</v>
      </c>
      <c r="BH21">
        <v>1</v>
      </c>
      <c r="BI21">
        <v>0</v>
      </c>
      <c r="BK21">
        <v>5.8139534883720929E-3</v>
      </c>
      <c r="BL21">
        <v>-2.2355284469075487</v>
      </c>
      <c r="CA21" t="s">
        <v>737</v>
      </c>
      <c r="CB21">
        <v>2</v>
      </c>
      <c r="CC21">
        <v>5</v>
      </c>
      <c r="CD21">
        <v>1</v>
      </c>
    </row>
    <row r="22" spans="1:92" x14ac:dyDescent="0.3">
      <c r="A22" s="66"/>
      <c r="B22" t="s">
        <v>999</v>
      </c>
      <c r="C22">
        <v>1</v>
      </c>
      <c r="G22">
        <f t="shared" si="0"/>
        <v>7.2992700729927005E-3</v>
      </c>
      <c r="H22">
        <f t="shared" si="1"/>
        <v>-2.1367205671564067</v>
      </c>
      <c r="V22" t="s">
        <v>999</v>
      </c>
      <c r="W22" t="s">
        <v>553</v>
      </c>
      <c r="Y22" t="str">
        <v>Lysimachia_nemorum</v>
      </c>
      <c r="AF22">
        <v>85</v>
      </c>
      <c r="AG22">
        <f t="shared" si="4"/>
        <v>0.13368502027130943</v>
      </c>
      <c r="AH22">
        <f t="shared" si="5"/>
        <v>-0.87391725375508322</v>
      </c>
      <c r="AQ22" t="s">
        <v>318</v>
      </c>
      <c r="AR22">
        <v>0</v>
      </c>
      <c r="AS22">
        <v>25</v>
      </c>
      <c r="AU22">
        <f>COUNTA(AU3:AU21)</f>
        <v>19</v>
      </c>
      <c r="AV22">
        <f>SUM(AV3:AV21)</f>
        <v>27</v>
      </c>
      <c r="AW22">
        <f>SUM(AW3:AW21)</f>
        <v>26</v>
      </c>
      <c r="AY22" t="s">
        <v>689</v>
      </c>
      <c r="BA22">
        <v>19</v>
      </c>
      <c r="BC22" t="s">
        <v>1224</v>
      </c>
      <c r="BD22">
        <v>1</v>
      </c>
      <c r="BE22">
        <v>0</v>
      </c>
      <c r="BG22" t="s">
        <v>737</v>
      </c>
      <c r="BH22">
        <v>2</v>
      </c>
      <c r="BI22">
        <v>5</v>
      </c>
      <c r="BJ22">
        <v>1</v>
      </c>
      <c r="BK22">
        <v>1.1627906976744186E-2</v>
      </c>
      <c r="BL22">
        <v>-1.9344984512435677</v>
      </c>
      <c r="BS22">
        <v>1.2722646310432569E-2</v>
      </c>
      <c r="BT22">
        <v>-1.8954225460394079</v>
      </c>
      <c r="CA22" t="s">
        <v>843</v>
      </c>
      <c r="CB22">
        <v>1</v>
      </c>
      <c r="CC22">
        <v>1</v>
      </c>
      <c r="CD22">
        <v>1</v>
      </c>
    </row>
    <row r="23" spans="1:92" x14ac:dyDescent="0.3">
      <c r="A23" s="66"/>
      <c r="B23" t="s">
        <v>272</v>
      </c>
      <c r="C23">
        <v>2</v>
      </c>
      <c r="G23">
        <f t="shared" si="0"/>
        <v>1.4598540145985401E-2</v>
      </c>
      <c r="H23">
        <f t="shared" si="1"/>
        <v>-1.8356905714924256</v>
      </c>
      <c r="V23" t="s">
        <v>272</v>
      </c>
      <c r="W23" t="s">
        <v>597</v>
      </c>
      <c r="Y23" t="str">
        <v>Viola_palustris</v>
      </c>
      <c r="AF23">
        <v>5</v>
      </c>
      <c r="AG23">
        <f t="shared" si="4"/>
        <v>7.8638247218417306E-3</v>
      </c>
      <c r="AH23">
        <f t="shared" si="5"/>
        <v>-2.1043661751333573</v>
      </c>
      <c r="AQ23" t="s">
        <v>307</v>
      </c>
      <c r="AR23">
        <v>1</v>
      </c>
      <c r="AS23">
        <v>0</v>
      </c>
      <c r="AV23">
        <f>COUNT(AV3:AV21)</f>
        <v>14</v>
      </c>
      <c r="AW23">
        <f>COUNT(AW3:AW21)</f>
        <v>10</v>
      </c>
      <c r="AY23" t="s">
        <v>604</v>
      </c>
      <c r="BA23">
        <v>1</v>
      </c>
      <c r="BC23" t="s">
        <v>1225</v>
      </c>
      <c r="BD23">
        <v>1</v>
      </c>
      <c r="BE23">
        <v>0</v>
      </c>
      <c r="BG23" t="s">
        <v>843</v>
      </c>
      <c r="BH23">
        <v>1</v>
      </c>
      <c r="BI23">
        <v>1</v>
      </c>
      <c r="BJ23">
        <v>1</v>
      </c>
      <c r="BK23">
        <v>5.8139534883720929E-3</v>
      </c>
      <c r="BL23">
        <v>-2.2355284469075487</v>
      </c>
      <c r="BS23">
        <v>2.5445292620865142E-3</v>
      </c>
      <c r="BT23">
        <v>-2.5943925503754266</v>
      </c>
      <c r="CA23" t="s">
        <v>907</v>
      </c>
      <c r="CC23">
        <v>2</v>
      </c>
    </row>
    <row r="24" spans="1:92" x14ac:dyDescent="0.3">
      <c r="A24" s="66"/>
      <c r="B24" t="s">
        <v>292</v>
      </c>
      <c r="C24">
        <v>1</v>
      </c>
      <c r="G24">
        <f t="shared" si="0"/>
        <v>7.2992700729927005E-3</v>
      </c>
      <c r="H24">
        <f t="shared" si="1"/>
        <v>-2.1367205671564067</v>
      </c>
      <c r="V24" t="s">
        <v>292</v>
      </c>
      <c r="W24" t="s">
        <v>600</v>
      </c>
      <c r="Y24" t="str">
        <v>Hypericum_perforatum</v>
      </c>
      <c r="AF24">
        <v>5</v>
      </c>
      <c r="AG24">
        <f t="shared" si="4"/>
        <v>7.8638247218417306E-3</v>
      </c>
      <c r="AH24">
        <f t="shared" si="5"/>
        <v>-2.1043661751333573</v>
      </c>
      <c r="AQ24" t="s">
        <v>482</v>
      </c>
      <c r="AR24">
        <v>0</v>
      </c>
      <c r="AS24">
        <v>2</v>
      </c>
      <c r="AY24" t="s">
        <v>979</v>
      </c>
      <c r="BA24">
        <v>4</v>
      </c>
      <c r="BC24" t="s">
        <v>1226</v>
      </c>
      <c r="BD24">
        <v>0</v>
      </c>
      <c r="BE24">
        <v>5</v>
      </c>
      <c r="BG24" t="s">
        <v>907</v>
      </c>
      <c r="BH24">
        <v>0</v>
      </c>
      <c r="BI24">
        <v>2</v>
      </c>
      <c r="BS24">
        <v>5.0890585241730284E-3</v>
      </c>
      <c r="BT24">
        <v>-2.2933625547114453</v>
      </c>
      <c r="CA24" t="s">
        <v>995</v>
      </c>
      <c r="CB24">
        <v>1</v>
      </c>
      <c r="CC24">
        <v>4</v>
      </c>
      <c r="CD24">
        <v>1</v>
      </c>
    </row>
    <row r="25" spans="1:92" x14ac:dyDescent="0.3">
      <c r="A25" s="66"/>
      <c r="B25" t="s">
        <v>307</v>
      </c>
      <c r="C25">
        <v>1</v>
      </c>
      <c r="G25">
        <f t="shared" si="0"/>
        <v>7.2992700729927005E-3</v>
      </c>
      <c r="H25">
        <f t="shared" si="1"/>
        <v>-2.1367205671564067</v>
      </c>
      <c r="V25" t="s">
        <v>307</v>
      </c>
      <c r="W25" t="s">
        <v>563</v>
      </c>
      <c r="Y25" t="str">
        <v>Oxalis</v>
      </c>
      <c r="AF25">
        <v>5</v>
      </c>
      <c r="AG25">
        <f t="shared" si="4"/>
        <v>7.8638247218417306E-3</v>
      </c>
      <c r="AH25">
        <f t="shared" si="5"/>
        <v>-2.1043661751333573</v>
      </c>
      <c r="AQ25" t="s">
        <v>101</v>
      </c>
      <c r="AR25">
        <v>9</v>
      </c>
      <c r="AS25">
        <v>14</v>
      </c>
      <c r="AY25" t="s">
        <v>928</v>
      </c>
      <c r="AZ25">
        <v>6</v>
      </c>
      <c r="BA25">
        <v>4</v>
      </c>
      <c r="BC25" t="s">
        <v>1227</v>
      </c>
      <c r="BD25">
        <v>3</v>
      </c>
      <c r="BE25">
        <v>1</v>
      </c>
      <c r="BG25" t="s">
        <v>995</v>
      </c>
      <c r="BH25">
        <v>1</v>
      </c>
      <c r="BI25">
        <v>4</v>
      </c>
      <c r="BJ25">
        <v>1</v>
      </c>
      <c r="BK25">
        <v>5.8139534883720929E-3</v>
      </c>
      <c r="BL25">
        <v>-2.2355284469075487</v>
      </c>
      <c r="BS25">
        <v>1.0178117048346057E-2</v>
      </c>
      <c r="BT25">
        <v>-1.9923325590474643</v>
      </c>
      <c r="CA25" t="s">
        <v>922</v>
      </c>
      <c r="CB25">
        <v>1</v>
      </c>
      <c r="CC25">
        <v>1</v>
      </c>
      <c r="CD25">
        <v>1</v>
      </c>
    </row>
    <row r="26" spans="1:92" x14ac:dyDescent="0.3">
      <c r="A26" s="47"/>
      <c r="B26">
        <f>COUNTA(B2:B25)</f>
        <v>24</v>
      </c>
      <c r="C26">
        <f>SUM(C2:C25)</f>
        <v>137</v>
      </c>
      <c r="D26">
        <f>COUNTA(D2:D19)</f>
        <v>18</v>
      </c>
      <c r="E26">
        <f>SUM(E2:E25)</f>
        <v>101</v>
      </c>
      <c r="V26" t="s">
        <v>623</v>
      </c>
      <c r="W26" t="s">
        <v>604</v>
      </c>
      <c r="Y26" t="str">
        <v xml:space="preserve">Northern_rustic </v>
      </c>
      <c r="AF26">
        <v>5</v>
      </c>
      <c r="AG26">
        <f t="shared" si="4"/>
        <v>7.8638247218417306E-3</v>
      </c>
      <c r="AH26">
        <f t="shared" si="5"/>
        <v>-2.1043661751333573</v>
      </c>
      <c r="AQ26" t="s">
        <v>459</v>
      </c>
      <c r="AR26">
        <v>0</v>
      </c>
      <c r="AS26">
        <v>1</v>
      </c>
      <c r="AY26" t="s">
        <v>633</v>
      </c>
      <c r="AZ26">
        <v>1</v>
      </c>
      <c r="BA26">
        <v>3</v>
      </c>
      <c r="BC26" t="s">
        <v>1228</v>
      </c>
      <c r="BD26">
        <v>1</v>
      </c>
      <c r="BE26">
        <v>0</v>
      </c>
      <c r="BG26" t="s">
        <v>922</v>
      </c>
      <c r="BH26">
        <v>1</v>
      </c>
      <c r="BI26">
        <v>1</v>
      </c>
      <c r="BJ26">
        <v>1</v>
      </c>
      <c r="BK26">
        <v>5.8139534883720929E-3</v>
      </c>
      <c r="BL26">
        <v>-2.2355284469075487</v>
      </c>
      <c r="BS26">
        <v>2.5445292620865142E-3</v>
      </c>
      <c r="BT26">
        <v>-2.5943925503754266</v>
      </c>
      <c r="CA26" t="s">
        <v>943</v>
      </c>
      <c r="CB26">
        <v>5</v>
      </c>
    </row>
    <row r="27" spans="1:92" x14ac:dyDescent="0.3">
      <c r="A27" s="47"/>
      <c r="J27" s="67" t="s">
        <v>1182</v>
      </c>
      <c r="K27" s="67"/>
      <c r="L27" s="67"/>
      <c r="Q27" s="67" t="s">
        <v>1182</v>
      </c>
      <c r="R27" s="67"/>
      <c r="S27" s="67"/>
      <c r="V27" t="s">
        <v>563</v>
      </c>
      <c r="W27" t="s">
        <v>578</v>
      </c>
      <c r="Y27" t="str">
        <v>Small_wainscot</v>
      </c>
      <c r="AE27" t="s">
        <v>1196</v>
      </c>
      <c r="AF27">
        <f>SUM(AF3:AF26)</f>
        <v>635.82292038027333</v>
      </c>
      <c r="AK27">
        <f>SUM(AK3:AK21)</f>
        <v>827.32380952380947</v>
      </c>
      <c r="AQ27" t="s">
        <v>25</v>
      </c>
      <c r="AR27">
        <v>17</v>
      </c>
      <c r="AS27">
        <v>12</v>
      </c>
      <c r="AY27" t="s">
        <v>660</v>
      </c>
      <c r="AZ27">
        <v>1</v>
      </c>
      <c r="BA27">
        <v>4</v>
      </c>
      <c r="BC27" t="s">
        <v>1123</v>
      </c>
      <c r="BD27">
        <v>1</v>
      </c>
      <c r="BE27">
        <v>0</v>
      </c>
      <c r="BG27" t="s">
        <v>943</v>
      </c>
      <c r="BH27">
        <v>5</v>
      </c>
      <c r="BI27">
        <v>0</v>
      </c>
      <c r="BK27">
        <v>2.9069767441860465E-2</v>
      </c>
      <c r="BL27">
        <v>-1.5365584425715302</v>
      </c>
      <c r="CA27" t="s">
        <v>940</v>
      </c>
      <c r="CB27">
        <v>4</v>
      </c>
    </row>
    <row r="28" spans="1:92" x14ac:dyDescent="0.3">
      <c r="A28" s="47"/>
      <c r="G28" t="s">
        <v>1175</v>
      </c>
      <c r="H28" t="s">
        <v>1176</v>
      </c>
      <c r="J28" t="s">
        <v>1172</v>
      </c>
      <c r="K28" t="s">
        <v>1173</v>
      </c>
      <c r="L28" t="s">
        <v>1174</v>
      </c>
      <c r="N28" t="s">
        <v>1177</v>
      </c>
      <c r="O28" t="s">
        <v>1176</v>
      </c>
      <c r="Q28" t="s">
        <v>1172</v>
      </c>
      <c r="R28" t="s">
        <v>1173</v>
      </c>
      <c r="S28" t="s">
        <v>1174</v>
      </c>
      <c r="V28" t="s">
        <v>537</v>
      </c>
      <c r="W28" t="s">
        <v>608</v>
      </c>
      <c r="Y28" t="str">
        <v xml:space="preserve">Square_spot_rustic </v>
      </c>
      <c r="AQ28" t="s">
        <v>97</v>
      </c>
      <c r="AR28">
        <v>3</v>
      </c>
      <c r="AS28">
        <v>0</v>
      </c>
      <c r="AY28" t="s">
        <v>647</v>
      </c>
      <c r="AZ28">
        <v>2</v>
      </c>
      <c r="BC28" t="s">
        <v>1230</v>
      </c>
      <c r="BD28">
        <v>0</v>
      </c>
      <c r="BE28">
        <v>3</v>
      </c>
      <c r="BG28" t="s">
        <v>940</v>
      </c>
      <c r="BH28">
        <v>4</v>
      </c>
      <c r="BI28">
        <v>0</v>
      </c>
      <c r="BK28">
        <v>2.3255813953488372E-2</v>
      </c>
      <c r="BL28">
        <v>-1.6334684555795866</v>
      </c>
      <c r="CA28" t="s">
        <v>768</v>
      </c>
      <c r="CC28">
        <v>4</v>
      </c>
    </row>
    <row r="29" spans="1:92" x14ac:dyDescent="0.3">
      <c r="A29" s="66" t="s">
        <v>1166</v>
      </c>
      <c r="B29" t="s">
        <v>623</v>
      </c>
      <c r="C29">
        <v>1</v>
      </c>
      <c r="D29" t="s">
        <v>537</v>
      </c>
      <c r="E29">
        <v>12</v>
      </c>
      <c r="G29">
        <f t="shared" ref="G29:G66" si="8">C29/C$99</f>
        <v>5.8139534883720929E-3</v>
      </c>
      <c r="H29">
        <f>LOG(G29)</f>
        <v>-2.2355284469075487</v>
      </c>
      <c r="J29">
        <f>-SUMPRODUCT(G29:G98,H29:H98)</f>
        <v>1.5595606093169327</v>
      </c>
      <c r="K29">
        <f>LOG10(COUNTA(B29:B98))</f>
        <v>1.7481880270062005</v>
      </c>
      <c r="L29">
        <f>J29/K29</f>
        <v>0.89210118432609609</v>
      </c>
      <c r="N29">
        <f t="shared" ref="N29:N48" si="9">E29/E$99</f>
        <v>3.0534351145038167E-2</v>
      </c>
      <c r="O29">
        <f>LOG(N29)</f>
        <v>-1.5152113043278019</v>
      </c>
      <c r="Q29">
        <f>-SUMPRODUCT(N29:N98,O29:O98)</f>
        <v>1.1727883663988163</v>
      </c>
      <c r="R29">
        <f>LOG10(COUNTA(D29:D98))</f>
        <v>1.7993405494535817</v>
      </c>
      <c r="S29">
        <f>Q29/R29</f>
        <v>0.65178788237444274</v>
      </c>
      <c r="V29" t="s">
        <v>614</v>
      </c>
      <c r="W29" t="s">
        <v>611</v>
      </c>
      <c r="Y29" t="str">
        <v xml:space="preserve">Crane_fly </v>
      </c>
      <c r="AQ29" t="s">
        <v>58</v>
      </c>
      <c r="AR29">
        <v>18</v>
      </c>
      <c r="AS29">
        <v>0</v>
      </c>
      <c r="AY29" t="s">
        <v>638</v>
      </c>
      <c r="AZ29">
        <v>1</v>
      </c>
      <c r="BC29">
        <f>COUNTA(BC10:BC28)</f>
        <v>19</v>
      </c>
      <c r="BD29">
        <f>SUM(BD10:BD28)</f>
        <v>57</v>
      </c>
      <c r="BE29">
        <f>SUM(BE10:BE28)</f>
        <v>33</v>
      </c>
      <c r="BG29" t="s">
        <v>768</v>
      </c>
      <c r="BH29">
        <v>0</v>
      </c>
      <c r="BI29">
        <v>4</v>
      </c>
      <c r="BS29">
        <v>1.0178117048346057E-2</v>
      </c>
      <c r="BT29">
        <v>-1.9923325590474643</v>
      </c>
      <c r="CA29" t="s">
        <v>611</v>
      </c>
      <c r="CB29">
        <v>1</v>
      </c>
      <c r="CC29">
        <v>1</v>
      </c>
      <c r="CD29">
        <v>1</v>
      </c>
    </row>
    <row r="30" spans="1:92" x14ac:dyDescent="0.3">
      <c r="A30" s="66"/>
      <c r="B30" t="s">
        <v>563</v>
      </c>
      <c r="C30">
        <v>2</v>
      </c>
      <c r="D30" t="s">
        <v>593</v>
      </c>
      <c r="E30">
        <v>3</v>
      </c>
      <c r="G30">
        <f t="shared" si="8"/>
        <v>1.1627906976744186E-2</v>
      </c>
      <c r="H30">
        <f t="shared" ref="H30:H93" si="10">LOG(G30)</f>
        <v>-1.9344984512435677</v>
      </c>
      <c r="N30">
        <f t="shared" si="9"/>
        <v>7.6335877862595417E-3</v>
      </c>
      <c r="O30">
        <f t="shared" ref="O30:O93" si="11">LOG(N30)</f>
        <v>-2.1172712956557644</v>
      </c>
      <c r="V30" t="s">
        <v>633</v>
      </c>
      <c r="W30" t="s">
        <v>614</v>
      </c>
      <c r="Y30" t="str">
        <v>Money_spider</v>
      </c>
      <c r="AQ30" t="s">
        <v>408</v>
      </c>
      <c r="AR30">
        <v>0</v>
      </c>
      <c r="AS30">
        <v>2</v>
      </c>
      <c r="AY30" t="s">
        <v>685</v>
      </c>
      <c r="BA30">
        <v>32</v>
      </c>
      <c r="BD30">
        <f>SUM(BD29:BE29)</f>
        <v>90</v>
      </c>
      <c r="BG30" t="s">
        <v>611</v>
      </c>
      <c r="BH30">
        <v>1</v>
      </c>
      <c r="BI30">
        <v>1</v>
      </c>
      <c r="BJ30">
        <v>1</v>
      </c>
      <c r="BK30">
        <v>5.8139534883720929E-3</v>
      </c>
      <c r="BL30">
        <v>-2.2355284469075487</v>
      </c>
      <c r="BS30">
        <v>2.5445292620865142E-3</v>
      </c>
      <c r="BT30">
        <v>-2.5943925503754266</v>
      </c>
      <c r="CA30" t="s">
        <v>616</v>
      </c>
      <c r="CB30">
        <v>10</v>
      </c>
      <c r="CC30">
        <v>18</v>
      </c>
      <c r="CD30">
        <v>1</v>
      </c>
    </row>
    <row r="31" spans="1:92" x14ac:dyDescent="0.3">
      <c r="A31" s="66"/>
      <c r="B31" t="s">
        <v>537</v>
      </c>
      <c r="C31">
        <v>10</v>
      </c>
      <c r="D31" t="s">
        <v>553</v>
      </c>
      <c r="E31">
        <v>1</v>
      </c>
      <c r="G31">
        <f t="shared" si="8"/>
        <v>5.8139534883720929E-2</v>
      </c>
      <c r="H31">
        <f t="shared" si="10"/>
        <v>-1.2355284469075489</v>
      </c>
      <c r="J31" s="67" t="s">
        <v>1186</v>
      </c>
      <c r="K31" s="67"/>
      <c r="L31" s="67"/>
      <c r="N31">
        <f t="shared" si="9"/>
        <v>2.5445292620865142E-3</v>
      </c>
      <c r="O31">
        <f t="shared" si="11"/>
        <v>-2.5943925503754266</v>
      </c>
      <c r="Q31" s="67" t="s">
        <v>1186</v>
      </c>
      <c r="R31" s="67"/>
      <c r="S31" s="67"/>
      <c r="V31" t="s">
        <v>638</v>
      </c>
      <c r="W31" t="s">
        <v>616</v>
      </c>
      <c r="Y31" t="str">
        <v>Scentless_plant_bugs</v>
      </c>
      <c r="AQ31" t="s">
        <v>37</v>
      </c>
      <c r="AR31">
        <v>10</v>
      </c>
      <c r="AS31">
        <v>0</v>
      </c>
      <c r="AY31" t="s">
        <v>692</v>
      </c>
      <c r="BA31">
        <v>1</v>
      </c>
      <c r="BG31" t="s">
        <v>616</v>
      </c>
      <c r="BH31">
        <v>10</v>
      </c>
      <c r="BI31">
        <v>18</v>
      </c>
      <c r="BJ31">
        <v>1</v>
      </c>
      <c r="BK31">
        <v>5.8139534883720929E-2</v>
      </c>
      <c r="BL31">
        <v>-1.2355284469075489</v>
      </c>
      <c r="BS31">
        <v>4.5801526717557252E-2</v>
      </c>
      <c r="BT31">
        <v>-1.3391200452721206</v>
      </c>
      <c r="CA31" t="s">
        <v>984</v>
      </c>
      <c r="CC31">
        <v>2</v>
      </c>
    </row>
    <row r="32" spans="1:92" x14ac:dyDescent="0.3">
      <c r="A32" s="66"/>
      <c r="B32" t="s">
        <v>614</v>
      </c>
      <c r="C32">
        <v>8</v>
      </c>
      <c r="D32" t="s">
        <v>597</v>
      </c>
      <c r="E32">
        <v>1</v>
      </c>
      <c r="G32">
        <f t="shared" si="8"/>
        <v>4.6511627906976744E-2</v>
      </c>
      <c r="H32">
        <f t="shared" si="10"/>
        <v>-1.3324384599156054</v>
      </c>
      <c r="J32" t="s">
        <v>1183</v>
      </c>
      <c r="K32" t="s">
        <v>1184</v>
      </c>
      <c r="L32" t="s">
        <v>1185</v>
      </c>
      <c r="N32">
        <f t="shared" si="9"/>
        <v>2.5445292620865142E-3</v>
      </c>
      <c r="O32">
        <f t="shared" si="11"/>
        <v>-2.5943925503754266</v>
      </c>
      <c r="Q32" t="s">
        <v>1183</v>
      </c>
      <c r="R32" t="s">
        <v>1184</v>
      </c>
      <c r="S32" t="s">
        <v>1185</v>
      </c>
      <c r="V32" t="s">
        <v>641</v>
      </c>
      <c r="W32" t="s">
        <v>568</v>
      </c>
      <c r="Y32" t="str">
        <v>Convolvulus_hawk_moth</v>
      </c>
      <c r="AQ32" t="s">
        <v>384</v>
      </c>
      <c r="AR32">
        <v>0</v>
      </c>
      <c r="AS32">
        <v>1</v>
      </c>
      <c r="AY32" t="s">
        <v>911</v>
      </c>
      <c r="AZ32">
        <v>7</v>
      </c>
      <c r="BA32">
        <v>9</v>
      </c>
      <c r="BC32" t="s">
        <v>1292</v>
      </c>
      <c r="BD32" t="s">
        <v>1293</v>
      </c>
      <c r="BG32" t="s">
        <v>984</v>
      </c>
      <c r="BH32">
        <v>0</v>
      </c>
      <c r="BI32">
        <v>2</v>
      </c>
      <c r="BS32">
        <v>5.0890585241730284E-3</v>
      </c>
      <c r="BT32">
        <v>-2.2933625547114453</v>
      </c>
      <c r="CA32" t="s">
        <v>976</v>
      </c>
      <c r="CC32">
        <v>1</v>
      </c>
    </row>
    <row r="33" spans="1:82" x14ac:dyDescent="0.3">
      <c r="A33" s="66"/>
      <c r="B33" t="s">
        <v>633</v>
      </c>
      <c r="C33">
        <v>1</v>
      </c>
      <c r="D33" t="s">
        <v>600</v>
      </c>
      <c r="E33">
        <v>1</v>
      </c>
      <c r="G33">
        <f t="shared" si="8"/>
        <v>5.8139534883720929E-3</v>
      </c>
      <c r="H33">
        <f t="shared" si="10"/>
        <v>-2.2355284469075487</v>
      </c>
      <c r="J33">
        <f>SUMSQ(G29:G66)</f>
        <v>1.8557328285559758E-2</v>
      </c>
      <c r="K33">
        <f>1-J33</f>
        <v>0.98144267171444022</v>
      </c>
      <c r="L33">
        <f>1/J33</f>
        <v>53.887067395264125</v>
      </c>
      <c r="N33">
        <f t="shared" si="9"/>
        <v>2.5445292620865142E-3</v>
      </c>
      <c r="O33">
        <f t="shared" si="11"/>
        <v>-2.5943925503754266</v>
      </c>
      <c r="Q33">
        <f>SUMSQ(N29:N66)</f>
        <v>0.19368205686019335</v>
      </c>
      <c r="R33">
        <f>1-Q33</f>
        <v>0.80631794313980665</v>
      </c>
      <c r="S33">
        <f>1/Q33</f>
        <v>5.1631008892157517</v>
      </c>
      <c r="V33" t="s">
        <v>647</v>
      </c>
      <c r="W33" t="s">
        <v>544</v>
      </c>
      <c r="Y33" t="str">
        <v>Parasitic_wasps</v>
      </c>
      <c r="AQ33" t="s">
        <v>62</v>
      </c>
      <c r="AR33">
        <v>5</v>
      </c>
      <c r="AS33">
        <v>0</v>
      </c>
      <c r="AY33" t="s">
        <v>868</v>
      </c>
      <c r="BA33">
        <v>1</v>
      </c>
      <c r="BC33" t="s">
        <v>1294</v>
      </c>
      <c r="BD33" t="s">
        <v>1192</v>
      </c>
      <c r="BE33" t="s">
        <v>1193</v>
      </c>
      <c r="BG33" t="s">
        <v>976</v>
      </c>
      <c r="BH33">
        <v>0</v>
      </c>
      <c r="BI33">
        <v>1</v>
      </c>
      <c r="BS33">
        <v>2.5445292620865142E-3</v>
      </c>
      <c r="BT33">
        <v>-2.5943925503754266</v>
      </c>
      <c r="CA33" t="s">
        <v>774</v>
      </c>
      <c r="CC33">
        <v>2</v>
      </c>
    </row>
    <row r="34" spans="1:82" x14ac:dyDescent="0.3">
      <c r="A34" s="66"/>
      <c r="B34" t="s">
        <v>638</v>
      </c>
      <c r="C34">
        <v>1</v>
      </c>
      <c r="D34" t="s">
        <v>563</v>
      </c>
      <c r="E34">
        <v>3</v>
      </c>
      <c r="G34">
        <f t="shared" si="8"/>
        <v>5.8139534883720929E-3</v>
      </c>
      <c r="H34">
        <f t="shared" si="10"/>
        <v>-2.2355284469075487</v>
      </c>
      <c r="J34" t="s">
        <v>1187</v>
      </c>
      <c r="K34" t="s">
        <v>1188</v>
      </c>
      <c r="L34" t="s">
        <v>1189</v>
      </c>
      <c r="N34">
        <f t="shared" si="9"/>
        <v>7.6335877862595417E-3</v>
      </c>
      <c r="O34">
        <f t="shared" si="11"/>
        <v>-2.1172712956557644</v>
      </c>
      <c r="Q34" t="s">
        <v>1187</v>
      </c>
      <c r="R34" t="s">
        <v>1188</v>
      </c>
      <c r="S34" t="s">
        <v>1189</v>
      </c>
      <c r="V34" t="s">
        <v>611</v>
      </c>
      <c r="W34" t="s">
        <v>571</v>
      </c>
      <c r="Y34" t="str">
        <v>Cinnamon_sedge_caddisfly</v>
      </c>
      <c r="AQ34" t="s">
        <v>324</v>
      </c>
      <c r="AR34">
        <v>0</v>
      </c>
      <c r="AS34">
        <v>2</v>
      </c>
      <c r="AY34" t="s">
        <v>703</v>
      </c>
      <c r="AZ34">
        <v>6</v>
      </c>
      <c r="BA34">
        <v>167</v>
      </c>
      <c r="BC34" t="s">
        <v>1262</v>
      </c>
      <c r="BD34">
        <v>0</v>
      </c>
      <c r="BE34">
        <v>1</v>
      </c>
      <c r="BG34" t="s">
        <v>774</v>
      </c>
      <c r="BH34">
        <v>0</v>
      </c>
      <c r="BI34">
        <v>2</v>
      </c>
      <c r="BS34">
        <v>5.0890585241730284E-3</v>
      </c>
      <c r="BT34">
        <v>-2.2933625547114453</v>
      </c>
      <c r="CA34" t="s">
        <v>947</v>
      </c>
      <c r="CB34">
        <v>2</v>
      </c>
      <c r="CC34">
        <v>3</v>
      </c>
      <c r="CD34">
        <v>1</v>
      </c>
    </row>
    <row r="35" spans="1:82" x14ac:dyDescent="0.3">
      <c r="A35" s="66"/>
      <c r="B35" t="s">
        <v>641</v>
      </c>
      <c r="C35">
        <v>1</v>
      </c>
      <c r="D35" t="s">
        <v>604</v>
      </c>
      <c r="E35">
        <v>1</v>
      </c>
      <c r="G35">
        <f t="shared" si="8"/>
        <v>5.8139534883720929E-3</v>
      </c>
      <c r="H35">
        <f t="shared" si="10"/>
        <v>-2.2355284469075487</v>
      </c>
      <c r="J35" cm="1">
        <f t="array" ref="J35">SUMPRODUCT(C29:C98, C29:C98-1)/(C99*(C99-1))</f>
        <v>3.3591731266149873E-2</v>
      </c>
      <c r="K35">
        <f>1-J35</f>
        <v>0.96640826873385011</v>
      </c>
      <c r="L35">
        <f>1/J35</f>
        <v>29.769230769230766</v>
      </c>
      <c r="N35">
        <f t="shared" si="9"/>
        <v>2.5445292620865142E-3</v>
      </c>
      <c r="O35">
        <f t="shared" si="11"/>
        <v>-2.5943925503754266</v>
      </c>
      <c r="Q35" cm="1">
        <f t="array" ref="Q35">SUMPRODUCT(E29:E98, E29:E98-1)/(E99*(E99-1))</f>
        <v>0.19368281663810563</v>
      </c>
      <c r="R35">
        <f>1-Q35</f>
        <v>0.8063171833618944</v>
      </c>
      <c r="S35">
        <f>1/Q35</f>
        <v>5.1630806354313288</v>
      </c>
      <c r="V35" t="s">
        <v>528</v>
      </c>
      <c r="W35" t="s">
        <v>575</v>
      </c>
      <c r="Y35" t="str">
        <v xml:space="preserve">Black_rustic </v>
      </c>
      <c r="AQ35" t="s">
        <v>119</v>
      </c>
      <c r="AR35">
        <v>1</v>
      </c>
      <c r="AS35">
        <v>0</v>
      </c>
      <c r="AY35" t="s">
        <v>722</v>
      </c>
      <c r="AZ35">
        <v>7</v>
      </c>
      <c r="BA35">
        <v>8</v>
      </c>
      <c r="BC35" t="s">
        <v>1267</v>
      </c>
      <c r="BD35">
        <v>0</v>
      </c>
      <c r="BE35">
        <v>1</v>
      </c>
      <c r="BG35" t="s">
        <v>947</v>
      </c>
      <c r="BH35">
        <v>2</v>
      </c>
      <c r="BI35">
        <v>3</v>
      </c>
      <c r="BJ35">
        <v>1</v>
      </c>
      <c r="BK35">
        <v>1.1627906976744186E-2</v>
      </c>
      <c r="BL35">
        <v>-1.9344984512435677</v>
      </c>
      <c r="BS35">
        <v>7.6335877862595417E-3</v>
      </c>
      <c r="BT35">
        <v>-2.1172712956557644</v>
      </c>
      <c r="CA35" t="s">
        <v>834</v>
      </c>
      <c r="CC35">
        <v>1</v>
      </c>
    </row>
    <row r="36" spans="1:82" x14ac:dyDescent="0.3">
      <c r="A36" s="66"/>
      <c r="B36" t="s">
        <v>647</v>
      </c>
      <c r="C36">
        <v>2</v>
      </c>
      <c r="D36" t="s">
        <v>578</v>
      </c>
      <c r="E36">
        <v>2</v>
      </c>
      <c r="G36">
        <f t="shared" si="8"/>
        <v>1.1627906976744186E-2</v>
      </c>
      <c r="H36">
        <f t="shared" si="10"/>
        <v>-1.9344984512435677</v>
      </c>
      <c r="N36">
        <f t="shared" si="9"/>
        <v>5.0890585241730284E-3</v>
      </c>
      <c r="O36">
        <f t="shared" si="11"/>
        <v>-2.2933625547114453</v>
      </c>
      <c r="V36" t="s">
        <v>540</v>
      </c>
      <c r="W36" t="s">
        <v>582</v>
      </c>
      <c r="Y36" t="str">
        <v>Larval_geometrid</v>
      </c>
      <c r="AQ36" t="s">
        <v>313</v>
      </c>
      <c r="AR36">
        <v>0</v>
      </c>
      <c r="AS36">
        <v>2</v>
      </c>
      <c r="AY36" t="s">
        <v>918</v>
      </c>
      <c r="AZ36">
        <v>4</v>
      </c>
      <c r="BA36">
        <v>1</v>
      </c>
      <c r="BC36" t="s">
        <v>1251</v>
      </c>
      <c r="BD36">
        <v>1</v>
      </c>
      <c r="BE36">
        <v>1</v>
      </c>
      <c r="BG36" t="s">
        <v>834</v>
      </c>
      <c r="BH36">
        <v>0</v>
      </c>
      <c r="BI36">
        <v>1</v>
      </c>
      <c r="BS36">
        <v>2.5445292620865142E-3</v>
      </c>
      <c r="BT36">
        <v>-2.5943925503754266</v>
      </c>
      <c r="CA36" t="s">
        <v>677</v>
      </c>
      <c r="CB36">
        <v>3</v>
      </c>
      <c r="CC36">
        <v>23</v>
      </c>
      <c r="CD36">
        <v>1</v>
      </c>
    </row>
    <row r="37" spans="1:82" x14ac:dyDescent="0.3">
      <c r="A37" s="66"/>
      <c r="B37" t="s">
        <v>611</v>
      </c>
      <c r="C37">
        <v>1</v>
      </c>
      <c r="D37" t="s">
        <v>608</v>
      </c>
      <c r="E37">
        <v>1</v>
      </c>
      <c r="G37">
        <f t="shared" si="8"/>
        <v>5.8139534883720929E-3</v>
      </c>
      <c r="H37">
        <f t="shared" si="10"/>
        <v>-2.2355284469075487</v>
      </c>
      <c r="N37">
        <f t="shared" si="9"/>
        <v>2.5445292620865142E-3</v>
      </c>
      <c r="O37">
        <f t="shared" si="11"/>
        <v>-2.5943925503754266</v>
      </c>
      <c r="V37" t="s">
        <v>544</v>
      </c>
      <c r="W37" t="s">
        <v>586</v>
      </c>
      <c r="Y37" t="str">
        <v xml:space="preserve">Marsh_crane_fly </v>
      </c>
      <c r="AQ37" t="s">
        <v>272</v>
      </c>
      <c r="AR37">
        <v>2</v>
      </c>
      <c r="AS37">
        <v>2</v>
      </c>
      <c r="AY37" t="s">
        <v>965</v>
      </c>
      <c r="AZ37">
        <v>1</v>
      </c>
      <c r="BA37">
        <v>1</v>
      </c>
      <c r="BC37" t="s">
        <v>1237</v>
      </c>
      <c r="BD37">
        <v>1</v>
      </c>
      <c r="BE37">
        <v>1</v>
      </c>
      <c r="BG37" t="s">
        <v>677</v>
      </c>
      <c r="BH37">
        <v>3</v>
      </c>
      <c r="BI37">
        <v>23</v>
      </c>
      <c r="BJ37">
        <v>1</v>
      </c>
      <c r="BK37">
        <v>1.7441860465116279E-2</v>
      </c>
      <c r="BL37">
        <v>-1.7584071921878865</v>
      </c>
      <c r="BS37">
        <v>5.8524173027989825E-2</v>
      </c>
      <c r="BT37">
        <v>-1.2326647143578338</v>
      </c>
      <c r="CA37" t="s">
        <v>990</v>
      </c>
      <c r="CC37">
        <v>2</v>
      </c>
    </row>
    <row r="38" spans="1:82" x14ac:dyDescent="0.3">
      <c r="A38" s="66"/>
      <c r="B38" t="s">
        <v>528</v>
      </c>
      <c r="C38">
        <v>4</v>
      </c>
      <c r="D38" t="s">
        <v>611</v>
      </c>
      <c r="E38">
        <v>1</v>
      </c>
      <c r="G38">
        <f t="shared" si="8"/>
        <v>2.3255813953488372E-2</v>
      </c>
      <c r="H38">
        <f t="shared" si="10"/>
        <v>-1.6334684555795866</v>
      </c>
      <c r="N38">
        <f t="shared" si="9"/>
        <v>2.5445292620865142E-3</v>
      </c>
      <c r="O38">
        <f t="shared" si="11"/>
        <v>-2.5943925503754266</v>
      </c>
      <c r="V38" t="s">
        <v>547</v>
      </c>
      <c r="W38" t="s">
        <v>657</v>
      </c>
      <c r="Y38" t="str">
        <v>Large_yellow_underwing</v>
      </c>
      <c r="AQ38">
        <f>COUNTA(AQ3:AQ37)</f>
        <v>35</v>
      </c>
      <c r="AR38">
        <f>SUM(AR3:AR37)</f>
        <v>137</v>
      </c>
      <c r="AS38">
        <f>SUM(AS3:AS37)</f>
        <v>101</v>
      </c>
      <c r="AY38" t="s">
        <v>586</v>
      </c>
      <c r="BA38">
        <v>1</v>
      </c>
      <c r="BC38" t="s">
        <v>1277</v>
      </c>
      <c r="BD38">
        <v>0</v>
      </c>
      <c r="BE38">
        <v>1</v>
      </c>
      <c r="BG38" t="s">
        <v>990</v>
      </c>
      <c r="BH38">
        <v>0</v>
      </c>
      <c r="BI38">
        <v>2</v>
      </c>
      <c r="BS38">
        <v>5.0890585241730284E-3</v>
      </c>
      <c r="BT38">
        <v>-2.2933625547114453</v>
      </c>
      <c r="CA38" t="s">
        <v>884</v>
      </c>
      <c r="CB38">
        <v>7</v>
      </c>
    </row>
    <row r="39" spans="1:82" x14ac:dyDescent="0.3">
      <c r="A39" s="66"/>
      <c r="B39" t="s">
        <v>540</v>
      </c>
      <c r="C39">
        <v>1</v>
      </c>
      <c r="D39" t="s">
        <v>614</v>
      </c>
      <c r="E39">
        <v>3</v>
      </c>
      <c r="G39">
        <f t="shared" si="8"/>
        <v>5.8139534883720929E-3</v>
      </c>
      <c r="H39">
        <f t="shared" si="10"/>
        <v>-2.2355284469075487</v>
      </c>
      <c r="N39">
        <f t="shared" si="9"/>
        <v>7.6335877862595417E-3</v>
      </c>
      <c r="O39">
        <f t="shared" si="11"/>
        <v>-2.1172712956557644</v>
      </c>
      <c r="V39" t="s">
        <v>550</v>
      </c>
      <c r="W39" t="s">
        <v>660</v>
      </c>
      <c r="Y39" t="str">
        <v xml:space="preserve">Autumnal_rustic </v>
      </c>
      <c r="AY39" t="s">
        <v>697</v>
      </c>
      <c r="BA39">
        <v>1</v>
      </c>
      <c r="BG39" t="s">
        <v>884</v>
      </c>
      <c r="BH39">
        <v>7</v>
      </c>
      <c r="BI39">
        <v>0</v>
      </c>
      <c r="BK39">
        <v>4.0697674418604654E-2</v>
      </c>
      <c r="BL39">
        <v>-1.390430406893292</v>
      </c>
      <c r="CA39" t="s">
        <v>757</v>
      </c>
      <c r="CC39">
        <v>1</v>
      </c>
    </row>
    <row r="40" spans="1:82" x14ac:dyDescent="0.3">
      <c r="A40" s="66"/>
      <c r="B40" t="s">
        <v>544</v>
      </c>
      <c r="C40">
        <v>2</v>
      </c>
      <c r="D40" t="s">
        <v>616</v>
      </c>
      <c r="E40">
        <v>10</v>
      </c>
      <c r="G40">
        <f t="shared" si="8"/>
        <v>1.1627906976744186E-2</v>
      </c>
      <c r="H40">
        <f t="shared" si="10"/>
        <v>-1.9344984512435677</v>
      </c>
      <c r="N40">
        <f t="shared" si="9"/>
        <v>2.5445292620865138E-2</v>
      </c>
      <c r="O40">
        <f t="shared" si="11"/>
        <v>-1.5943925503754268</v>
      </c>
      <c r="V40" t="s">
        <v>553</v>
      </c>
      <c r="W40" t="s">
        <v>685</v>
      </c>
      <c r="Y40" t="str">
        <v xml:space="preserve">Heath_rustic </v>
      </c>
      <c r="AY40" t="s">
        <v>902</v>
      </c>
      <c r="AZ40">
        <v>7</v>
      </c>
      <c r="BA40">
        <v>1</v>
      </c>
      <c r="BG40" t="s">
        <v>757</v>
      </c>
      <c r="BH40">
        <v>0</v>
      </c>
      <c r="BI40">
        <v>1</v>
      </c>
      <c r="BS40">
        <v>2.5445292620865142E-3</v>
      </c>
      <c r="BT40">
        <v>-2.5943925503754266</v>
      </c>
      <c r="CA40" t="s">
        <v>689</v>
      </c>
      <c r="CC40">
        <v>19</v>
      </c>
    </row>
    <row r="41" spans="1:82" x14ac:dyDescent="0.3">
      <c r="A41" s="66"/>
      <c r="B41" t="s">
        <v>547</v>
      </c>
      <c r="C41">
        <v>1</v>
      </c>
      <c r="D41" t="s">
        <v>568</v>
      </c>
      <c r="E41">
        <v>3</v>
      </c>
      <c r="G41">
        <f t="shared" si="8"/>
        <v>5.8139534883720929E-3</v>
      </c>
      <c r="H41">
        <f t="shared" si="10"/>
        <v>-2.2355284469075487</v>
      </c>
      <c r="N41">
        <f t="shared" si="9"/>
        <v>7.6335877862595417E-3</v>
      </c>
      <c r="O41">
        <f t="shared" si="11"/>
        <v>-2.1172712956557644</v>
      </c>
      <c r="V41" t="s">
        <v>556</v>
      </c>
      <c r="W41" t="s">
        <v>703</v>
      </c>
      <c r="Y41" t="str">
        <v xml:space="preserve">Large_pale_masoner </v>
      </c>
      <c r="AY41">
        <f>COUNTA(AY3:AY40)</f>
        <v>38</v>
      </c>
      <c r="AZ41">
        <f>SUM(AZ3:AZ40)</f>
        <v>80</v>
      </c>
      <c r="BA41">
        <f>SUM(BA3:BA40)</f>
        <v>329</v>
      </c>
      <c r="BG41" t="s">
        <v>689</v>
      </c>
      <c r="BH41">
        <v>0</v>
      </c>
      <c r="BI41">
        <v>19</v>
      </c>
      <c r="BS41">
        <v>4.8346055979643768E-2</v>
      </c>
      <c r="BT41">
        <v>-1.3156389494225977</v>
      </c>
      <c r="CA41" t="s">
        <v>604</v>
      </c>
      <c r="CC41">
        <v>1</v>
      </c>
    </row>
    <row r="42" spans="1:82" x14ac:dyDescent="0.3">
      <c r="A42" s="66"/>
      <c r="B42" t="s">
        <v>550</v>
      </c>
      <c r="C42">
        <v>1</v>
      </c>
      <c r="D42" t="s">
        <v>544</v>
      </c>
      <c r="E42">
        <v>1</v>
      </c>
      <c r="G42">
        <f t="shared" si="8"/>
        <v>5.8139534883720929E-3</v>
      </c>
      <c r="H42">
        <f t="shared" si="10"/>
        <v>-2.2355284469075487</v>
      </c>
      <c r="N42">
        <f t="shared" si="9"/>
        <v>2.5445292620865142E-3</v>
      </c>
      <c r="O42">
        <f t="shared" si="11"/>
        <v>-2.5943925503754266</v>
      </c>
      <c r="V42" t="s">
        <v>559</v>
      </c>
      <c r="W42" t="s">
        <v>774</v>
      </c>
      <c r="Y42" t="str">
        <v>The_anomalous</v>
      </c>
      <c r="AZ42">
        <f>COUNTA(AZ3:AZ40)</f>
        <v>22</v>
      </c>
      <c r="BA42">
        <f>COUNTA(BA3:BA40)</f>
        <v>33</v>
      </c>
      <c r="BC42">
        <f>167/329</f>
        <v>0.50759878419452886</v>
      </c>
      <c r="BG42" t="s">
        <v>604</v>
      </c>
      <c r="BH42">
        <v>0</v>
      </c>
      <c r="BI42">
        <v>1</v>
      </c>
      <c r="BS42">
        <v>2.5445292620865142E-3</v>
      </c>
      <c r="BT42">
        <v>-2.5943925503754266</v>
      </c>
      <c r="CA42" t="s">
        <v>979</v>
      </c>
      <c r="CC42">
        <v>4</v>
      </c>
    </row>
    <row r="43" spans="1:82" x14ac:dyDescent="0.3">
      <c r="A43" s="66"/>
      <c r="B43" t="s">
        <v>553</v>
      </c>
      <c r="C43">
        <v>1</v>
      </c>
      <c r="D43" t="s">
        <v>571</v>
      </c>
      <c r="E43">
        <v>1</v>
      </c>
      <c r="G43">
        <f t="shared" si="8"/>
        <v>5.8139534883720929E-3</v>
      </c>
      <c r="H43">
        <f t="shared" si="10"/>
        <v>-2.2355284469075487</v>
      </c>
      <c r="N43">
        <f t="shared" si="9"/>
        <v>2.5445292620865142E-3</v>
      </c>
      <c r="O43">
        <f t="shared" si="11"/>
        <v>-2.5943925503754266</v>
      </c>
      <c r="V43" t="s">
        <v>575</v>
      </c>
      <c r="W43" t="s">
        <v>768</v>
      </c>
      <c r="Y43" t="str">
        <v>Caddis_fly</v>
      </c>
      <c r="BG43" t="s">
        <v>979</v>
      </c>
      <c r="BH43">
        <v>0</v>
      </c>
      <c r="BI43">
        <v>4</v>
      </c>
      <c r="BS43">
        <v>1.0178117048346057E-2</v>
      </c>
      <c r="BT43">
        <v>-1.9923325590474643</v>
      </c>
      <c r="CA43" t="s">
        <v>928</v>
      </c>
      <c r="CB43">
        <v>6</v>
      </c>
      <c r="CC43">
        <v>4</v>
      </c>
      <c r="CD43">
        <v>1</v>
      </c>
    </row>
    <row r="44" spans="1:82" x14ac:dyDescent="0.3">
      <c r="A44" s="66"/>
      <c r="B44" t="s">
        <v>556</v>
      </c>
      <c r="C44">
        <v>1</v>
      </c>
      <c r="D44" t="s">
        <v>575</v>
      </c>
      <c r="E44">
        <v>3</v>
      </c>
      <c r="G44">
        <f t="shared" si="8"/>
        <v>5.8139534883720929E-3</v>
      </c>
      <c r="H44">
        <f t="shared" si="10"/>
        <v>-2.2355284469075487</v>
      </c>
      <c r="N44">
        <f t="shared" si="9"/>
        <v>7.6335877862595417E-3</v>
      </c>
      <c r="O44">
        <f t="shared" si="11"/>
        <v>-2.1172712956557644</v>
      </c>
      <c r="V44" t="s">
        <v>672</v>
      </c>
      <c r="W44" t="s">
        <v>834</v>
      </c>
      <c r="Y44" t="str">
        <v>Garden_dart</v>
      </c>
      <c r="BG44" t="s">
        <v>928</v>
      </c>
      <c r="BH44">
        <v>6</v>
      </c>
      <c r="BI44">
        <v>4</v>
      </c>
      <c r="BJ44">
        <v>1</v>
      </c>
      <c r="BK44">
        <v>3.4883720930232558E-2</v>
      </c>
      <c r="BL44">
        <v>-1.4573771965239053</v>
      </c>
      <c r="BS44">
        <v>1.0178117048346057E-2</v>
      </c>
      <c r="BT44">
        <v>-1.9923325590474643</v>
      </c>
      <c r="CA44" t="s">
        <v>633</v>
      </c>
      <c r="CB44">
        <v>1</v>
      </c>
      <c r="CC44">
        <v>3</v>
      </c>
      <c r="CD44">
        <v>1</v>
      </c>
    </row>
    <row r="45" spans="1:82" x14ac:dyDescent="0.3">
      <c r="A45" s="66"/>
      <c r="B45" t="s">
        <v>559</v>
      </c>
      <c r="C45">
        <v>1</v>
      </c>
      <c r="D45" t="s">
        <v>582</v>
      </c>
      <c r="E45">
        <v>1</v>
      </c>
      <c r="G45">
        <f t="shared" si="8"/>
        <v>5.8139534883720929E-3</v>
      </c>
      <c r="H45">
        <f t="shared" si="10"/>
        <v>-2.2355284469075487</v>
      </c>
      <c r="N45">
        <f t="shared" si="9"/>
        <v>2.5445292620865142E-3</v>
      </c>
      <c r="O45">
        <f t="shared" si="11"/>
        <v>-2.5943925503754266</v>
      </c>
      <c r="V45" t="s">
        <v>660</v>
      </c>
      <c r="W45" t="s">
        <v>843</v>
      </c>
      <c r="Y45" t="str">
        <v>Mosquito</v>
      </c>
      <c r="BG45" t="s">
        <v>633</v>
      </c>
      <c r="BH45">
        <v>1</v>
      </c>
      <c r="BI45">
        <v>3</v>
      </c>
      <c r="BJ45">
        <v>1</v>
      </c>
      <c r="BK45">
        <v>5.8139534883720929E-3</v>
      </c>
      <c r="BL45">
        <v>-2.2355284469075487</v>
      </c>
      <c r="BS45">
        <v>7.6335877862595417E-3</v>
      </c>
      <c r="BT45">
        <v>-2.1172712956557644</v>
      </c>
      <c r="CA45" t="s">
        <v>660</v>
      </c>
      <c r="CB45">
        <v>1</v>
      </c>
      <c r="CC45">
        <v>4</v>
      </c>
      <c r="CD45">
        <v>1</v>
      </c>
    </row>
    <row r="46" spans="1:82" x14ac:dyDescent="0.3">
      <c r="A46" s="66"/>
      <c r="B46" t="s">
        <v>575</v>
      </c>
      <c r="C46">
        <v>1</v>
      </c>
      <c r="D46" t="s">
        <v>586</v>
      </c>
      <c r="E46">
        <v>1</v>
      </c>
      <c r="G46">
        <f t="shared" si="8"/>
        <v>5.8139534883720929E-3</v>
      </c>
      <c r="H46">
        <f t="shared" si="10"/>
        <v>-2.2355284469075487</v>
      </c>
      <c r="N46">
        <f t="shared" si="9"/>
        <v>2.5445292620865142E-3</v>
      </c>
      <c r="O46">
        <f t="shared" si="11"/>
        <v>-2.5943925503754266</v>
      </c>
      <c r="V46" t="s">
        <v>677</v>
      </c>
      <c r="W46" t="s">
        <v>737</v>
      </c>
      <c r="Y46" t="str">
        <v>Fly</v>
      </c>
      <c r="BG46" t="s">
        <v>660</v>
      </c>
      <c r="BH46">
        <v>1</v>
      </c>
      <c r="BI46">
        <v>4</v>
      </c>
      <c r="BJ46">
        <v>1</v>
      </c>
      <c r="BK46">
        <v>5.8139534883720929E-3</v>
      </c>
      <c r="BL46">
        <v>-2.2355284469075487</v>
      </c>
      <c r="BS46">
        <v>1.0178117048346057E-2</v>
      </c>
      <c r="BT46">
        <v>-1.9923325590474643</v>
      </c>
      <c r="CA46" t="s">
        <v>647</v>
      </c>
      <c r="CB46">
        <v>2</v>
      </c>
    </row>
    <row r="47" spans="1:82" x14ac:dyDescent="0.3">
      <c r="A47" s="66"/>
      <c r="B47" t="s">
        <v>672</v>
      </c>
      <c r="C47">
        <v>1</v>
      </c>
      <c r="D47" t="s">
        <v>657</v>
      </c>
      <c r="E47">
        <v>1</v>
      </c>
      <c r="G47">
        <f t="shared" si="8"/>
        <v>5.8139534883720929E-3</v>
      </c>
      <c r="H47">
        <f t="shared" si="10"/>
        <v>-2.2355284469075487</v>
      </c>
      <c r="N47">
        <f t="shared" si="9"/>
        <v>2.5445292620865142E-3</v>
      </c>
      <c r="O47">
        <f t="shared" si="11"/>
        <v>-2.5943925503754266</v>
      </c>
      <c r="V47" t="s">
        <v>593</v>
      </c>
      <c r="W47" t="s">
        <v>868</v>
      </c>
      <c r="Y47" t="str">
        <v>Green_carpet_moth</v>
      </c>
      <c r="BG47" t="s">
        <v>647</v>
      </c>
      <c r="BH47">
        <v>2</v>
      </c>
      <c r="BI47">
        <v>0</v>
      </c>
      <c r="BK47">
        <v>1.1627906976744186E-2</v>
      </c>
      <c r="BL47">
        <v>-1.9344984512435677</v>
      </c>
      <c r="CA47" t="s">
        <v>638</v>
      </c>
      <c r="CB47">
        <v>1</v>
      </c>
    </row>
    <row r="48" spans="1:82" x14ac:dyDescent="0.3">
      <c r="A48" s="66"/>
      <c r="B48" t="s">
        <v>660</v>
      </c>
      <c r="C48">
        <v>1</v>
      </c>
      <c r="D48" t="s">
        <v>660</v>
      </c>
      <c r="E48">
        <v>4</v>
      </c>
      <c r="G48">
        <f t="shared" si="8"/>
        <v>5.8139534883720929E-3</v>
      </c>
      <c r="H48">
        <f t="shared" si="10"/>
        <v>-2.2355284469075487</v>
      </c>
      <c r="N48">
        <f t="shared" si="9"/>
        <v>1.0178117048346057E-2</v>
      </c>
      <c r="O48">
        <f t="shared" si="11"/>
        <v>-1.9923325590474643</v>
      </c>
      <c r="V48" t="s">
        <v>657</v>
      </c>
      <c r="W48" t="s">
        <v>616</v>
      </c>
      <c r="Y48" t="str">
        <v>Mottled_rustic</v>
      </c>
      <c r="BG48" t="s">
        <v>638</v>
      </c>
      <c r="BH48">
        <v>1</v>
      </c>
      <c r="BI48">
        <v>0</v>
      </c>
      <c r="BK48">
        <v>5.8139534883720929E-3</v>
      </c>
      <c r="BL48">
        <v>-2.2355284469075487</v>
      </c>
      <c r="CA48" t="s">
        <v>685</v>
      </c>
      <c r="CC48">
        <v>32</v>
      </c>
    </row>
    <row r="49" spans="1:82" x14ac:dyDescent="0.3">
      <c r="A49" s="66"/>
      <c r="B49" t="s">
        <v>677</v>
      </c>
      <c r="C49">
        <v>1</v>
      </c>
      <c r="G49">
        <f t="shared" si="8"/>
        <v>5.8139534883720929E-3</v>
      </c>
      <c r="H49">
        <f t="shared" si="10"/>
        <v>-2.2355284469075487</v>
      </c>
      <c r="V49" t="s">
        <v>722</v>
      </c>
      <c r="W49" t="s">
        <v>689</v>
      </c>
      <c r="Y49" t="str">
        <v>True_bug</v>
      </c>
      <c r="BG49" t="s">
        <v>685</v>
      </c>
      <c r="BH49">
        <v>0</v>
      </c>
      <c r="BI49">
        <v>32</v>
      </c>
      <c r="BS49">
        <v>8.1424936386768454E-2</v>
      </c>
      <c r="BT49">
        <v>-1.0892425720555208</v>
      </c>
      <c r="CA49" t="s">
        <v>692</v>
      </c>
      <c r="CC49">
        <v>1</v>
      </c>
    </row>
    <row r="50" spans="1:82" x14ac:dyDescent="0.3">
      <c r="A50" s="66"/>
      <c r="B50" t="s">
        <v>593</v>
      </c>
      <c r="C50">
        <v>1</v>
      </c>
      <c r="G50">
        <f t="shared" si="8"/>
        <v>5.8139534883720929E-3</v>
      </c>
      <c r="H50">
        <f t="shared" si="10"/>
        <v>-2.2355284469075487</v>
      </c>
      <c r="V50" t="s">
        <v>677</v>
      </c>
      <c r="W50" t="s">
        <v>722</v>
      </c>
      <c r="Y50" t="str">
        <v>Aphid</v>
      </c>
      <c r="BG50" t="s">
        <v>692</v>
      </c>
      <c r="BH50">
        <v>0</v>
      </c>
      <c r="BI50">
        <v>1</v>
      </c>
      <c r="BS50">
        <v>2.5445292620865142E-3</v>
      </c>
      <c r="BT50">
        <v>-2.5943925503754266</v>
      </c>
      <c r="CA50" t="s">
        <v>911</v>
      </c>
      <c r="CB50">
        <v>7</v>
      </c>
      <c r="CC50">
        <v>9</v>
      </c>
      <c r="CD50">
        <v>1</v>
      </c>
    </row>
    <row r="51" spans="1:82" x14ac:dyDescent="0.3">
      <c r="A51" s="66"/>
      <c r="B51" t="s">
        <v>657</v>
      </c>
      <c r="C51">
        <v>1</v>
      </c>
      <c r="G51">
        <f t="shared" si="8"/>
        <v>5.8139534883720929E-3</v>
      </c>
      <c r="H51">
        <f t="shared" si="10"/>
        <v>-2.2355284469075487</v>
      </c>
      <c r="V51" t="s">
        <v>843</v>
      </c>
      <c r="W51" t="s">
        <v>677</v>
      </c>
      <c r="Y51" t="str">
        <v>Ant</v>
      </c>
      <c r="BG51" t="s">
        <v>911</v>
      </c>
      <c r="BH51">
        <v>7</v>
      </c>
      <c r="BI51">
        <v>9</v>
      </c>
      <c r="BJ51">
        <v>1</v>
      </c>
      <c r="BK51">
        <v>4.0697674418604654E-2</v>
      </c>
      <c r="BL51">
        <v>-1.390430406893292</v>
      </c>
      <c r="BS51">
        <v>2.2900763358778626E-2</v>
      </c>
      <c r="BT51">
        <v>-1.6401500409361018</v>
      </c>
      <c r="CA51" t="s">
        <v>868</v>
      </c>
      <c r="CC51">
        <v>1</v>
      </c>
    </row>
    <row r="52" spans="1:82" x14ac:dyDescent="0.3">
      <c r="A52" s="66" t="s">
        <v>1167</v>
      </c>
      <c r="B52" t="s">
        <v>722</v>
      </c>
      <c r="C52">
        <v>7</v>
      </c>
      <c r="D52" t="s">
        <v>685</v>
      </c>
      <c r="E52">
        <v>32</v>
      </c>
      <c r="G52">
        <f t="shared" si="8"/>
        <v>4.0697674418604654E-2</v>
      </c>
      <c r="H52">
        <f t="shared" si="10"/>
        <v>-1.390430406893292</v>
      </c>
      <c r="N52">
        <f t="shared" ref="N52:N83" si="12">E52/E$99</f>
        <v>8.1424936386768454E-2</v>
      </c>
      <c r="O52">
        <f t="shared" si="11"/>
        <v>-1.0892425720555208</v>
      </c>
      <c r="V52" t="s">
        <v>737</v>
      </c>
      <c r="W52" t="s">
        <v>633</v>
      </c>
      <c r="Y52" t="str">
        <v>Tick</v>
      </c>
      <c r="BG52" t="s">
        <v>868</v>
      </c>
      <c r="BH52">
        <v>0</v>
      </c>
      <c r="BI52">
        <v>1</v>
      </c>
      <c r="BS52">
        <v>2.5445292620865142E-3</v>
      </c>
      <c r="BT52">
        <v>-2.5943925503754266</v>
      </c>
      <c r="CA52" t="s">
        <v>703</v>
      </c>
      <c r="CB52">
        <v>6</v>
      </c>
      <c r="CC52">
        <v>167</v>
      </c>
      <c r="CD52">
        <v>1</v>
      </c>
    </row>
    <row r="53" spans="1:82" x14ac:dyDescent="0.3">
      <c r="A53" s="66"/>
      <c r="B53" t="s">
        <v>677</v>
      </c>
      <c r="C53">
        <v>2</v>
      </c>
      <c r="D53" t="s">
        <v>703</v>
      </c>
      <c r="E53">
        <v>166</v>
      </c>
      <c r="G53">
        <f t="shared" si="8"/>
        <v>1.1627906976744186E-2</v>
      </c>
      <c r="H53">
        <f t="shared" si="10"/>
        <v>-1.9344984512435677</v>
      </c>
      <c r="N53">
        <f t="shared" si="12"/>
        <v>0.42239185750636132</v>
      </c>
      <c r="O53">
        <f t="shared" si="11"/>
        <v>-0.3742844623353716</v>
      </c>
      <c r="V53" t="s">
        <v>703</v>
      </c>
      <c r="W53" t="s">
        <v>757</v>
      </c>
      <c r="Y53" t="str">
        <v>Ground Beetle</v>
      </c>
      <c r="BG53" t="s">
        <v>703</v>
      </c>
      <c r="BH53">
        <v>6</v>
      </c>
      <c r="BI53">
        <v>167</v>
      </c>
      <c r="BJ53">
        <v>1</v>
      </c>
      <c r="BK53">
        <v>3.4883720930232558E-2</v>
      </c>
      <c r="BL53">
        <v>-1.4573771965239053</v>
      </c>
      <c r="BS53">
        <v>0.42493638676844786</v>
      </c>
      <c r="BT53">
        <v>-0.3716760792278434</v>
      </c>
      <c r="CA53" t="s">
        <v>722</v>
      </c>
      <c r="CB53">
        <v>7</v>
      </c>
      <c r="CC53">
        <v>8</v>
      </c>
      <c r="CD53">
        <v>1</v>
      </c>
    </row>
    <row r="54" spans="1:82" x14ac:dyDescent="0.3">
      <c r="A54" s="66"/>
      <c r="B54" t="s">
        <v>843</v>
      </c>
      <c r="C54">
        <v>1</v>
      </c>
      <c r="D54" t="s">
        <v>774</v>
      </c>
      <c r="E54">
        <v>2</v>
      </c>
      <c r="G54">
        <f t="shared" si="8"/>
        <v>5.8139534883720929E-3</v>
      </c>
      <c r="H54">
        <f t="shared" si="10"/>
        <v>-2.2355284469075487</v>
      </c>
      <c r="N54">
        <f t="shared" si="12"/>
        <v>5.0890585241730284E-3</v>
      </c>
      <c r="O54">
        <f t="shared" si="11"/>
        <v>-2.2933625547114453</v>
      </c>
      <c r="V54" t="s">
        <v>884</v>
      </c>
      <c r="W54" t="s">
        <v>692</v>
      </c>
      <c r="Y54" t="str">
        <v>Stonefly_larvae</v>
      </c>
      <c r="BG54" t="s">
        <v>722</v>
      </c>
      <c r="BH54">
        <v>7</v>
      </c>
      <c r="BI54">
        <v>8</v>
      </c>
      <c r="BJ54">
        <v>1</v>
      </c>
      <c r="BK54">
        <v>4.0697674418604654E-2</v>
      </c>
      <c r="BL54">
        <v>-1.390430406893292</v>
      </c>
      <c r="BS54">
        <v>2.0356234096692113E-2</v>
      </c>
      <c r="BT54">
        <v>-1.6913025633834831</v>
      </c>
      <c r="CA54" t="s">
        <v>918</v>
      </c>
      <c r="CB54">
        <v>4</v>
      </c>
      <c r="CC54">
        <v>1</v>
      </c>
      <c r="CD54">
        <v>1</v>
      </c>
    </row>
    <row r="55" spans="1:82" x14ac:dyDescent="0.3">
      <c r="A55" s="66"/>
      <c r="B55" t="s">
        <v>737</v>
      </c>
      <c r="C55">
        <v>2</v>
      </c>
      <c r="D55" t="s">
        <v>768</v>
      </c>
      <c r="E55">
        <v>4</v>
      </c>
      <c r="G55">
        <f t="shared" si="8"/>
        <v>1.1627906976744186E-2</v>
      </c>
      <c r="H55">
        <f t="shared" si="10"/>
        <v>-1.9344984512435677</v>
      </c>
      <c r="N55">
        <f t="shared" si="12"/>
        <v>1.0178117048346057E-2</v>
      </c>
      <c r="O55">
        <f t="shared" si="11"/>
        <v>-1.9923325590474643</v>
      </c>
      <c r="V55" t="s">
        <v>911</v>
      </c>
      <c r="W55" t="s">
        <v>697</v>
      </c>
      <c r="Y55" t="str">
        <v>Mayfly_larvae</v>
      </c>
      <c r="BG55" t="s">
        <v>918</v>
      </c>
      <c r="BH55">
        <v>4</v>
      </c>
      <c r="BI55">
        <v>1</v>
      </c>
      <c r="BJ55">
        <v>1</v>
      </c>
      <c r="BK55">
        <v>2.3255813953488372E-2</v>
      </c>
      <c r="BL55">
        <v>-1.6334684555795866</v>
      </c>
      <c r="BS55">
        <v>2.5445292620865142E-3</v>
      </c>
      <c r="BT55">
        <v>-2.5943925503754266</v>
      </c>
      <c r="CA55" t="s">
        <v>965</v>
      </c>
      <c r="CB55">
        <v>1</v>
      </c>
      <c r="CC55">
        <v>1</v>
      </c>
      <c r="CD55">
        <v>1</v>
      </c>
    </row>
    <row r="56" spans="1:82" x14ac:dyDescent="0.3">
      <c r="A56" s="66"/>
      <c r="B56" t="s">
        <v>703</v>
      </c>
      <c r="C56">
        <v>6</v>
      </c>
      <c r="D56" t="s">
        <v>834</v>
      </c>
      <c r="E56">
        <v>1</v>
      </c>
      <c r="G56">
        <f t="shared" si="8"/>
        <v>3.4883720930232558E-2</v>
      </c>
      <c r="H56">
        <f t="shared" si="10"/>
        <v>-1.4573771965239053</v>
      </c>
      <c r="N56">
        <f t="shared" si="12"/>
        <v>2.5445292620865142E-3</v>
      </c>
      <c r="O56">
        <f t="shared" si="11"/>
        <v>-2.5943925503754266</v>
      </c>
      <c r="V56" t="s">
        <v>928</v>
      </c>
      <c r="W56" t="s">
        <v>902</v>
      </c>
      <c r="Y56" t="str">
        <v xml:space="preserve">Waterbeetle </v>
      </c>
      <c r="BG56" t="s">
        <v>965</v>
      </c>
      <c r="BH56">
        <v>1</v>
      </c>
      <c r="BI56">
        <v>1</v>
      </c>
      <c r="BJ56">
        <v>1</v>
      </c>
      <c r="BK56">
        <v>5.8139534883720929E-3</v>
      </c>
      <c r="BL56">
        <v>-2.2355284469075487</v>
      </c>
      <c r="BS56">
        <v>2.5445292620865142E-3</v>
      </c>
      <c r="BT56">
        <v>-2.5943925503754266</v>
      </c>
      <c r="CA56" t="s">
        <v>586</v>
      </c>
      <c r="CC56">
        <v>1</v>
      </c>
    </row>
    <row r="57" spans="1:82" x14ac:dyDescent="0.3">
      <c r="A57" s="66"/>
      <c r="B57" t="s">
        <v>884</v>
      </c>
      <c r="C57">
        <v>7</v>
      </c>
      <c r="D57" t="s">
        <v>843</v>
      </c>
      <c r="E57">
        <v>1</v>
      </c>
      <c r="G57">
        <f t="shared" si="8"/>
        <v>4.0697674418604654E-2</v>
      </c>
      <c r="H57">
        <f t="shared" si="10"/>
        <v>-1.390430406893292</v>
      </c>
      <c r="N57">
        <f t="shared" si="12"/>
        <v>2.5445292620865142E-3</v>
      </c>
      <c r="O57">
        <f t="shared" si="11"/>
        <v>-2.5943925503754266</v>
      </c>
      <c r="V57" t="s">
        <v>918</v>
      </c>
      <c r="W57" t="s">
        <v>907</v>
      </c>
      <c r="Y57" t="str">
        <v>Worm</v>
      </c>
      <c r="BG57" t="s">
        <v>586</v>
      </c>
      <c r="BH57">
        <v>0</v>
      </c>
      <c r="BI57">
        <v>1</v>
      </c>
      <c r="BS57">
        <v>2.5445292620865142E-3</v>
      </c>
      <c r="BT57">
        <v>-2.5943925503754266</v>
      </c>
      <c r="CA57" t="s">
        <v>697</v>
      </c>
      <c r="CC57">
        <v>1</v>
      </c>
    </row>
    <row r="58" spans="1:82" x14ac:dyDescent="0.3">
      <c r="A58" s="66"/>
      <c r="B58" t="s">
        <v>911</v>
      </c>
      <c r="C58">
        <v>7</v>
      </c>
      <c r="D58" t="s">
        <v>737</v>
      </c>
      <c r="E58">
        <v>5</v>
      </c>
      <c r="G58">
        <f t="shared" si="8"/>
        <v>4.0697674418604654E-2</v>
      </c>
      <c r="H58">
        <f t="shared" si="10"/>
        <v>-1.390430406893292</v>
      </c>
      <c r="N58">
        <f t="shared" si="12"/>
        <v>1.2722646310432569E-2</v>
      </c>
      <c r="O58">
        <f t="shared" si="11"/>
        <v>-1.8954225460394079</v>
      </c>
      <c r="V58" t="s">
        <v>902</v>
      </c>
      <c r="W58" t="s">
        <v>976</v>
      </c>
      <c r="Y58" t="str">
        <v>Dragonfly_larvae</v>
      </c>
      <c r="BG58" t="s">
        <v>697</v>
      </c>
      <c r="BH58">
        <v>0</v>
      </c>
      <c r="BI58">
        <v>1</v>
      </c>
      <c r="BS58">
        <v>2.5445292620865142E-3</v>
      </c>
      <c r="BT58">
        <v>-2.5943925503754266</v>
      </c>
      <c r="CA58" t="s">
        <v>902</v>
      </c>
      <c r="CB58">
        <v>7</v>
      </c>
      <c r="CC58">
        <v>1</v>
      </c>
      <c r="CD58">
        <v>1</v>
      </c>
    </row>
    <row r="59" spans="1:82" x14ac:dyDescent="0.3">
      <c r="A59" s="66"/>
      <c r="B59" t="s">
        <v>928</v>
      </c>
      <c r="C59">
        <v>6</v>
      </c>
      <c r="D59" t="s">
        <v>868</v>
      </c>
      <c r="E59">
        <v>1</v>
      </c>
      <c r="G59">
        <f t="shared" si="8"/>
        <v>3.4883720930232558E-2</v>
      </c>
      <c r="H59">
        <f t="shared" si="10"/>
        <v>-1.4573771965239053</v>
      </c>
      <c r="N59">
        <f t="shared" si="12"/>
        <v>2.5445292620865142E-3</v>
      </c>
      <c r="O59">
        <f t="shared" si="11"/>
        <v>-2.5943925503754266</v>
      </c>
      <c r="V59" t="s">
        <v>947</v>
      </c>
      <c r="W59" t="s">
        <v>979</v>
      </c>
      <c r="Y59" t="str">
        <v>Waterbeetle_larvae</v>
      </c>
      <c r="BG59" t="s">
        <v>902</v>
      </c>
      <c r="BH59">
        <v>7</v>
      </c>
      <c r="BI59">
        <v>1</v>
      </c>
      <c r="BJ59">
        <v>1</v>
      </c>
      <c r="BK59">
        <v>4.0697674418604654E-2</v>
      </c>
      <c r="BL59">
        <v>-1.390430406893292</v>
      </c>
      <c r="BS59">
        <v>2.5445292620865142E-3</v>
      </c>
      <c r="BT59">
        <v>-2.5943925503754266</v>
      </c>
      <c r="CA59" t="s">
        <v>1049</v>
      </c>
      <c r="CB59">
        <v>1</v>
      </c>
    </row>
    <row r="60" spans="1:82" x14ac:dyDescent="0.3">
      <c r="A60" s="66"/>
      <c r="B60" t="s">
        <v>918</v>
      </c>
      <c r="C60">
        <v>4</v>
      </c>
      <c r="D60" t="s">
        <v>616</v>
      </c>
      <c r="E60">
        <v>1</v>
      </c>
      <c r="G60">
        <f t="shared" si="8"/>
        <v>2.3255813953488372E-2</v>
      </c>
      <c r="H60">
        <f t="shared" si="10"/>
        <v>-1.6334684555795866</v>
      </c>
      <c r="N60">
        <f t="shared" si="12"/>
        <v>2.5445292620865142E-3</v>
      </c>
      <c r="O60">
        <f t="shared" si="11"/>
        <v>-2.5943925503754266</v>
      </c>
      <c r="V60" t="s">
        <v>965</v>
      </c>
      <c r="W60" t="s">
        <v>984</v>
      </c>
      <c r="Y60" t="str">
        <v>Cased_caddisfly_larvae</v>
      </c>
      <c r="BG60" t="s">
        <v>1049</v>
      </c>
      <c r="BH60">
        <v>1</v>
      </c>
      <c r="BI60">
        <v>0</v>
      </c>
      <c r="BK60">
        <v>5.8139534883720929E-3</v>
      </c>
      <c r="BL60">
        <v>-2.2355284469075487</v>
      </c>
      <c r="CA60" t="s">
        <v>1203</v>
      </c>
      <c r="CB60">
        <v>2</v>
      </c>
      <c r="CC60">
        <v>1</v>
      </c>
      <c r="CD60">
        <v>1</v>
      </c>
    </row>
    <row r="61" spans="1:82" x14ac:dyDescent="0.3">
      <c r="A61" s="66"/>
      <c r="B61" t="s">
        <v>902</v>
      </c>
      <c r="C61">
        <v>7</v>
      </c>
      <c r="D61" t="s">
        <v>689</v>
      </c>
      <c r="E61">
        <v>19</v>
      </c>
      <c r="G61">
        <f t="shared" si="8"/>
        <v>4.0697674418604654E-2</v>
      </c>
      <c r="H61">
        <f t="shared" si="10"/>
        <v>-1.390430406893292</v>
      </c>
      <c r="N61">
        <f t="shared" si="12"/>
        <v>4.8346055979643768E-2</v>
      </c>
      <c r="O61">
        <f t="shared" si="11"/>
        <v>-1.3156389494225977</v>
      </c>
      <c r="V61" t="s">
        <v>943</v>
      </c>
      <c r="W61" t="s">
        <v>947</v>
      </c>
      <c r="Y61" t="str">
        <v>Caddisfly_larvae</v>
      </c>
      <c r="BG61" t="s">
        <v>1203</v>
      </c>
      <c r="BH61">
        <v>2</v>
      </c>
      <c r="BI61">
        <v>1</v>
      </c>
      <c r="BJ61">
        <v>1</v>
      </c>
      <c r="BK61">
        <v>1.1627906976744186E-2</v>
      </c>
      <c r="BL61">
        <v>-1.9344984512435677</v>
      </c>
      <c r="BS61">
        <v>2.5445292620865142E-3</v>
      </c>
      <c r="BT61">
        <v>-2.5943925503754266</v>
      </c>
      <c r="CA61" t="s">
        <v>1200</v>
      </c>
      <c r="CB61">
        <v>3</v>
      </c>
      <c r="CC61">
        <v>3</v>
      </c>
      <c r="CD61">
        <v>1</v>
      </c>
    </row>
    <row r="62" spans="1:82" x14ac:dyDescent="0.3">
      <c r="A62" s="66"/>
      <c r="B62" t="s">
        <v>947</v>
      </c>
      <c r="C62">
        <v>2</v>
      </c>
      <c r="D62" t="s">
        <v>722</v>
      </c>
      <c r="E62">
        <v>8</v>
      </c>
      <c r="G62">
        <f t="shared" si="8"/>
        <v>1.1627906976744186E-2</v>
      </c>
      <c r="H62">
        <f t="shared" si="10"/>
        <v>-1.9344984512435677</v>
      </c>
      <c r="N62">
        <f t="shared" si="12"/>
        <v>2.0356234096692113E-2</v>
      </c>
      <c r="O62">
        <f t="shared" si="11"/>
        <v>-1.6913025633834831</v>
      </c>
      <c r="V62" t="s">
        <v>922</v>
      </c>
      <c r="W62" t="s">
        <v>990</v>
      </c>
      <c r="Y62" t="str">
        <v>Caseless_caddisfly_larvae</v>
      </c>
      <c r="BG62" t="s">
        <v>1200</v>
      </c>
      <c r="BH62">
        <v>3</v>
      </c>
      <c r="BI62">
        <v>3</v>
      </c>
      <c r="BJ62">
        <v>1</v>
      </c>
      <c r="BK62">
        <v>1.7441860465116279E-2</v>
      </c>
      <c r="BL62">
        <v>-1.7584071921878865</v>
      </c>
      <c r="BS62">
        <v>7.6335877862595417E-3</v>
      </c>
      <c r="BT62">
        <v>-2.1172712956557644</v>
      </c>
      <c r="CA62" t="s">
        <v>1201</v>
      </c>
      <c r="CB62">
        <v>2</v>
      </c>
      <c r="CC62">
        <v>1</v>
      </c>
      <c r="CD62">
        <v>1</v>
      </c>
    </row>
    <row r="63" spans="1:82" x14ac:dyDescent="0.3">
      <c r="A63" s="66"/>
      <c r="B63" t="s">
        <v>965</v>
      </c>
      <c r="C63">
        <v>1</v>
      </c>
      <c r="D63" t="s">
        <v>677</v>
      </c>
      <c r="E63">
        <v>23</v>
      </c>
      <c r="G63">
        <f t="shared" si="8"/>
        <v>5.8139534883720929E-3</v>
      </c>
      <c r="H63">
        <f t="shared" si="10"/>
        <v>-2.2355284469075487</v>
      </c>
      <c r="N63">
        <f t="shared" si="12"/>
        <v>5.8524173027989825E-2</v>
      </c>
      <c r="O63">
        <f t="shared" si="11"/>
        <v>-1.2326647143578338</v>
      </c>
      <c r="V63" t="s">
        <v>940</v>
      </c>
      <c r="W63" t="s">
        <v>911</v>
      </c>
      <c r="Y63" t="str">
        <v>Red dear</v>
      </c>
      <c r="BG63" t="s">
        <v>1201</v>
      </c>
      <c r="BH63">
        <v>2</v>
      </c>
      <c r="BI63">
        <v>1</v>
      </c>
      <c r="BJ63">
        <v>1</v>
      </c>
      <c r="BK63">
        <v>1.1627906976744186E-2</v>
      </c>
      <c r="BL63">
        <v>-1.9344984512435677</v>
      </c>
      <c r="BS63">
        <v>2.5445292620865142E-3</v>
      </c>
      <c r="BT63">
        <v>-2.5943925503754266</v>
      </c>
      <c r="CA63" t="s">
        <v>1156</v>
      </c>
      <c r="CC63">
        <v>1</v>
      </c>
    </row>
    <row r="64" spans="1:82" x14ac:dyDescent="0.3">
      <c r="A64" s="66"/>
      <c r="B64" t="s">
        <v>943</v>
      </c>
      <c r="C64">
        <v>5</v>
      </c>
      <c r="D64" t="s">
        <v>633</v>
      </c>
      <c r="E64">
        <v>3</v>
      </c>
      <c r="G64">
        <f t="shared" si="8"/>
        <v>2.9069767441860465E-2</v>
      </c>
      <c r="H64">
        <f t="shared" si="10"/>
        <v>-1.5365584425715302</v>
      </c>
      <c r="N64">
        <f t="shared" si="12"/>
        <v>7.6335877862595417E-3</v>
      </c>
      <c r="O64">
        <f t="shared" si="11"/>
        <v>-2.1172712956557644</v>
      </c>
      <c r="V64" t="s">
        <v>1030</v>
      </c>
      <c r="W64" t="s">
        <v>914</v>
      </c>
      <c r="Y64" t="str">
        <v>Domestic sheep</v>
      </c>
      <c r="BG64" t="s">
        <v>1156</v>
      </c>
      <c r="BH64">
        <v>0</v>
      </c>
      <c r="BI64">
        <v>1</v>
      </c>
      <c r="BS64">
        <v>2.5445292620865142E-3</v>
      </c>
      <c r="BT64">
        <v>-2.5943925503754266</v>
      </c>
      <c r="CA64" t="s">
        <v>1125</v>
      </c>
      <c r="CB64">
        <v>3</v>
      </c>
    </row>
    <row r="65" spans="1:82" x14ac:dyDescent="0.3">
      <c r="A65" s="66"/>
      <c r="B65" t="s">
        <v>922</v>
      </c>
      <c r="C65">
        <v>1</v>
      </c>
      <c r="D65" t="s">
        <v>757</v>
      </c>
      <c r="E65">
        <v>1</v>
      </c>
      <c r="G65">
        <f t="shared" si="8"/>
        <v>5.8139534883720929E-3</v>
      </c>
      <c r="H65">
        <f t="shared" si="10"/>
        <v>-2.2355284469075487</v>
      </c>
      <c r="N65">
        <f t="shared" si="12"/>
        <v>2.5445292620865142E-3</v>
      </c>
      <c r="O65">
        <f t="shared" si="11"/>
        <v>-2.5943925503754266</v>
      </c>
      <c r="V65" t="s">
        <v>1036</v>
      </c>
      <c r="W65" t="s">
        <v>918</v>
      </c>
      <c r="Y65" t="str">
        <v>Badger</v>
      </c>
      <c r="BG65" t="s">
        <v>1125</v>
      </c>
      <c r="BH65">
        <v>3</v>
      </c>
      <c r="BI65">
        <v>0</v>
      </c>
      <c r="BK65">
        <v>1.7441860465116279E-2</v>
      </c>
      <c r="BL65">
        <v>-1.7584071921878865</v>
      </c>
      <c r="CA65" t="s">
        <v>1077</v>
      </c>
      <c r="CB65">
        <v>6</v>
      </c>
      <c r="CC65">
        <v>9</v>
      </c>
      <c r="CD65">
        <v>1</v>
      </c>
    </row>
    <row r="66" spans="1:82" x14ac:dyDescent="0.3">
      <c r="A66" s="66"/>
      <c r="B66" t="s">
        <v>940</v>
      </c>
      <c r="C66">
        <v>4</v>
      </c>
      <c r="D66" t="s">
        <v>692</v>
      </c>
      <c r="E66">
        <v>1</v>
      </c>
      <c r="G66">
        <f t="shared" si="8"/>
        <v>2.3255813953488372E-2</v>
      </c>
      <c r="H66">
        <f t="shared" si="10"/>
        <v>-1.6334684555795866</v>
      </c>
      <c r="N66">
        <f t="shared" si="12"/>
        <v>2.5445292620865142E-3</v>
      </c>
      <c r="O66">
        <f t="shared" si="11"/>
        <v>-2.5943925503754266</v>
      </c>
      <c r="V66" t="s">
        <v>1050</v>
      </c>
      <c r="W66" t="s">
        <v>922</v>
      </c>
      <c r="Y66" t="str">
        <v>Red Squirrel</v>
      </c>
      <c r="BG66" t="s">
        <v>1077</v>
      </c>
      <c r="BH66">
        <v>6</v>
      </c>
      <c r="BI66">
        <v>9</v>
      </c>
      <c r="BJ66">
        <v>1</v>
      </c>
      <c r="BK66">
        <v>3.4883720930232558E-2</v>
      </c>
      <c r="BL66">
        <v>-1.4573771965239053</v>
      </c>
      <c r="BS66">
        <v>2.2900763358778626E-2</v>
      </c>
      <c r="BT66">
        <v>-1.6401500409361018</v>
      </c>
      <c r="CA66" t="s">
        <v>1114</v>
      </c>
      <c r="CB66">
        <v>4</v>
      </c>
      <c r="CC66">
        <v>2</v>
      </c>
      <c r="CD66">
        <v>1</v>
      </c>
    </row>
    <row r="67" spans="1:82" x14ac:dyDescent="0.3">
      <c r="A67" s="66"/>
      <c r="D67" t="s">
        <v>697</v>
      </c>
      <c r="E67">
        <v>1</v>
      </c>
      <c r="N67">
        <f t="shared" si="12"/>
        <v>2.5445292620865142E-3</v>
      </c>
      <c r="O67">
        <f t="shared" si="11"/>
        <v>-2.5943925503754266</v>
      </c>
      <c r="V67" t="s">
        <v>1009</v>
      </c>
      <c r="W67" t="s">
        <v>928</v>
      </c>
      <c r="Y67" t="str">
        <v>Anthus pratensis</v>
      </c>
      <c r="BG67" t="s">
        <v>1114</v>
      </c>
      <c r="BH67">
        <v>4</v>
      </c>
      <c r="BI67">
        <v>2</v>
      </c>
      <c r="BJ67">
        <v>1</v>
      </c>
      <c r="BK67">
        <v>2.3255813953488372E-2</v>
      </c>
      <c r="BL67">
        <v>-1.6334684555795866</v>
      </c>
      <c r="BS67">
        <v>5.0890585241730284E-3</v>
      </c>
      <c r="BT67">
        <v>-2.2933625547114453</v>
      </c>
      <c r="CA67" t="s">
        <v>1152</v>
      </c>
      <c r="CC67">
        <v>1</v>
      </c>
    </row>
    <row r="68" spans="1:82" x14ac:dyDescent="0.3">
      <c r="A68" s="66"/>
      <c r="D68" t="s">
        <v>902</v>
      </c>
      <c r="E68">
        <v>1</v>
      </c>
      <c r="N68">
        <f t="shared" si="12"/>
        <v>2.5445292620865142E-3</v>
      </c>
      <c r="O68">
        <f t="shared" si="11"/>
        <v>-2.5943925503754266</v>
      </c>
      <c r="V68" t="s">
        <v>1077</v>
      </c>
      <c r="W68" t="s">
        <v>995</v>
      </c>
      <c r="Y68" t="str">
        <v>Aquila chrysaetos</v>
      </c>
      <c r="BG68" t="s">
        <v>1152</v>
      </c>
      <c r="BH68">
        <v>0</v>
      </c>
      <c r="BI68">
        <v>1</v>
      </c>
      <c r="BS68">
        <v>2.5445292620865142E-3</v>
      </c>
      <c r="BT68">
        <v>-2.5943925503754266</v>
      </c>
      <c r="CA68" t="s">
        <v>1104</v>
      </c>
      <c r="CB68">
        <v>16</v>
      </c>
    </row>
    <row r="69" spans="1:82" x14ac:dyDescent="0.3">
      <c r="A69" s="66"/>
      <c r="D69" t="s">
        <v>907</v>
      </c>
      <c r="E69">
        <v>2</v>
      </c>
      <c r="N69">
        <f t="shared" si="12"/>
        <v>5.0890585241730284E-3</v>
      </c>
      <c r="O69">
        <f t="shared" si="11"/>
        <v>-2.2933625547114453</v>
      </c>
      <c r="V69" t="s">
        <v>1114</v>
      </c>
      <c r="W69" t="s">
        <v>1030</v>
      </c>
      <c r="Y69" t="str">
        <v>Corvus corone</v>
      </c>
      <c r="BG69" t="s">
        <v>1104</v>
      </c>
      <c r="BH69">
        <v>16</v>
      </c>
      <c r="BI69">
        <v>0</v>
      </c>
      <c r="BK69">
        <v>9.3023255813953487E-2</v>
      </c>
      <c r="BL69">
        <v>-1.0314084642516241</v>
      </c>
      <c r="CA69" t="s">
        <v>1087</v>
      </c>
      <c r="CB69">
        <v>16</v>
      </c>
      <c r="CC69">
        <v>5</v>
      </c>
      <c r="CD69">
        <v>1</v>
      </c>
    </row>
    <row r="70" spans="1:82" x14ac:dyDescent="0.3">
      <c r="A70" s="66"/>
      <c r="D70" t="s">
        <v>976</v>
      </c>
      <c r="E70">
        <v>1</v>
      </c>
      <c r="N70">
        <f t="shared" si="12"/>
        <v>2.5445292620865142E-3</v>
      </c>
      <c r="O70">
        <f t="shared" si="11"/>
        <v>-2.5943925503754266</v>
      </c>
      <c r="V70" t="s">
        <v>1117</v>
      </c>
      <c r="W70" t="s">
        <v>1009</v>
      </c>
      <c r="Y70" t="str">
        <v>Turdus philomelos</v>
      </c>
      <c r="BG70" t="s">
        <v>1087</v>
      </c>
      <c r="BH70">
        <v>16</v>
      </c>
      <c r="BI70">
        <v>5</v>
      </c>
      <c r="BJ70">
        <v>1</v>
      </c>
      <c r="BK70">
        <v>9.3023255813953487E-2</v>
      </c>
      <c r="BL70">
        <v>-1.0314084642516241</v>
      </c>
      <c r="BS70">
        <v>1.2722646310432569E-2</v>
      </c>
      <c r="BT70">
        <v>-1.8954225460394079</v>
      </c>
      <c r="CA70" t="s">
        <v>1131</v>
      </c>
      <c r="CC70">
        <v>4</v>
      </c>
    </row>
    <row r="71" spans="1:82" x14ac:dyDescent="0.3">
      <c r="A71" s="66"/>
      <c r="D71" t="s">
        <v>979</v>
      </c>
      <c r="E71">
        <v>4</v>
      </c>
      <c r="N71">
        <f t="shared" si="12"/>
        <v>1.0178117048346057E-2</v>
      </c>
      <c r="O71">
        <f t="shared" si="11"/>
        <v>-1.9923325590474643</v>
      </c>
      <c r="V71" t="s">
        <v>1120</v>
      </c>
      <c r="W71" t="s">
        <v>1036</v>
      </c>
      <c r="Y71" t="str">
        <v>Alauda arvensis</v>
      </c>
      <c r="BG71" t="s">
        <v>1131</v>
      </c>
      <c r="BH71">
        <v>0</v>
      </c>
      <c r="BI71">
        <v>4</v>
      </c>
      <c r="BS71">
        <v>1.0178117048346057E-2</v>
      </c>
      <c r="BT71">
        <v>-1.9923325590474643</v>
      </c>
      <c r="CA71" t="s">
        <v>1117</v>
      </c>
      <c r="CB71">
        <v>2</v>
      </c>
    </row>
    <row r="72" spans="1:82" x14ac:dyDescent="0.3">
      <c r="A72" s="66"/>
      <c r="D72" t="s">
        <v>984</v>
      </c>
      <c r="E72">
        <v>2</v>
      </c>
      <c r="N72">
        <f t="shared" si="12"/>
        <v>5.0890585241730284E-3</v>
      </c>
      <c r="O72">
        <f t="shared" si="11"/>
        <v>-2.2933625547114453</v>
      </c>
      <c r="V72" t="s">
        <v>1125</v>
      </c>
      <c r="W72" t="s">
        <v>1114</v>
      </c>
      <c r="Y72" t="str">
        <v>Columba palumbus</v>
      </c>
      <c r="BG72" t="s">
        <v>1117</v>
      </c>
      <c r="BH72">
        <v>2</v>
      </c>
      <c r="BI72">
        <v>0</v>
      </c>
      <c r="BK72">
        <v>1.1627906976744186E-2</v>
      </c>
      <c r="BL72">
        <v>-1.9344984512435677</v>
      </c>
      <c r="CA72" t="s">
        <v>1102</v>
      </c>
      <c r="CB72">
        <v>1</v>
      </c>
    </row>
    <row r="73" spans="1:82" x14ac:dyDescent="0.3">
      <c r="A73" s="66"/>
      <c r="D73" t="s">
        <v>947</v>
      </c>
      <c r="E73">
        <v>3</v>
      </c>
      <c r="N73">
        <f t="shared" si="12"/>
        <v>7.6335877862595417E-3</v>
      </c>
      <c r="O73">
        <f t="shared" si="11"/>
        <v>-2.1172712956557644</v>
      </c>
      <c r="V73" t="s">
        <v>1087</v>
      </c>
      <c r="W73" t="s">
        <v>1131</v>
      </c>
      <c r="Y73" t="str">
        <v>Motacilla alba</v>
      </c>
      <c r="BG73" t="s">
        <v>1102</v>
      </c>
      <c r="BH73">
        <v>1</v>
      </c>
      <c r="BI73">
        <v>0</v>
      </c>
      <c r="BK73">
        <v>5.8139534883720929E-3</v>
      </c>
      <c r="BL73">
        <v>-2.2355284469075487</v>
      </c>
      <c r="CA73" t="s">
        <v>1100</v>
      </c>
      <c r="CB73">
        <v>1</v>
      </c>
      <c r="CC73">
        <v>1</v>
      </c>
      <c r="CD73">
        <v>1</v>
      </c>
    </row>
    <row r="74" spans="1:82" x14ac:dyDescent="0.3">
      <c r="A74" s="66"/>
      <c r="D74" t="s">
        <v>990</v>
      </c>
      <c r="E74">
        <v>2</v>
      </c>
      <c r="N74">
        <f t="shared" si="12"/>
        <v>5.0890585241730284E-3</v>
      </c>
      <c r="O74">
        <f t="shared" si="11"/>
        <v>-2.2933625547114453</v>
      </c>
      <c r="V74" t="s">
        <v>1098</v>
      </c>
      <c r="W74" t="s">
        <v>1077</v>
      </c>
      <c r="Y74" t="str">
        <v>Erithacus rubecula</v>
      </c>
      <c r="BG74" t="s">
        <v>1100</v>
      </c>
      <c r="BH74">
        <v>1</v>
      </c>
      <c r="BI74">
        <v>1</v>
      </c>
      <c r="BJ74">
        <v>1</v>
      </c>
      <c r="BK74">
        <v>5.8139534883720929E-3</v>
      </c>
      <c r="BL74">
        <v>-2.2355284469075487</v>
      </c>
      <c r="BS74">
        <v>2.5445292620865142E-3</v>
      </c>
      <c r="BT74">
        <v>-2.5943925503754266</v>
      </c>
      <c r="CA74" t="s">
        <v>1082</v>
      </c>
      <c r="CB74">
        <v>1</v>
      </c>
      <c r="CC74">
        <v>1</v>
      </c>
      <c r="CD74">
        <v>1</v>
      </c>
    </row>
    <row r="75" spans="1:82" x14ac:dyDescent="0.3">
      <c r="A75" s="66"/>
      <c r="D75" t="s">
        <v>911</v>
      </c>
      <c r="E75">
        <v>9</v>
      </c>
      <c r="N75">
        <f t="shared" si="12"/>
        <v>2.2900763358778626E-2</v>
      </c>
      <c r="O75">
        <f t="shared" si="11"/>
        <v>-1.6401500409361018</v>
      </c>
      <c r="V75" t="s">
        <v>1100</v>
      </c>
      <c r="W75" t="s">
        <v>1152</v>
      </c>
      <c r="Y75" t="str">
        <v>Cyanistes caeruleus</v>
      </c>
      <c r="BG75" t="s">
        <v>1082</v>
      </c>
      <c r="BH75">
        <v>1</v>
      </c>
      <c r="BI75">
        <v>1</v>
      </c>
      <c r="BJ75">
        <v>1</v>
      </c>
      <c r="BK75">
        <v>5.8139534883720929E-3</v>
      </c>
      <c r="BL75">
        <v>-2.2355284469075487</v>
      </c>
      <c r="BS75">
        <v>2.5445292620865142E-3</v>
      </c>
      <c r="BT75">
        <v>-2.5943925503754266</v>
      </c>
      <c r="CA75" t="s">
        <v>1098</v>
      </c>
      <c r="CB75">
        <v>1</v>
      </c>
    </row>
    <row r="76" spans="1:82" x14ac:dyDescent="0.3">
      <c r="A76" s="66"/>
      <c r="D76" t="s">
        <v>914</v>
      </c>
      <c r="E76">
        <v>1</v>
      </c>
      <c r="N76">
        <f t="shared" si="12"/>
        <v>2.5445292620865142E-3</v>
      </c>
      <c r="O76">
        <f t="shared" si="11"/>
        <v>-2.5943925503754266</v>
      </c>
      <c r="V76" t="s">
        <v>1102</v>
      </c>
      <c r="W76" t="s">
        <v>1141</v>
      </c>
      <c r="Y76" t="str">
        <v>Coloeus monedula</v>
      </c>
      <c r="BG76" t="s">
        <v>1098</v>
      </c>
      <c r="BH76">
        <v>1</v>
      </c>
      <c r="BI76">
        <v>0</v>
      </c>
      <c r="BK76">
        <v>5.8139534883720929E-3</v>
      </c>
      <c r="BL76">
        <v>-2.2355284469075487</v>
      </c>
      <c r="CA76" t="s">
        <v>1108</v>
      </c>
      <c r="CB76">
        <v>1</v>
      </c>
    </row>
    <row r="77" spans="1:82" x14ac:dyDescent="0.3">
      <c r="A77" s="66"/>
      <c r="D77" t="s">
        <v>918</v>
      </c>
      <c r="E77">
        <v>1</v>
      </c>
      <c r="N77">
        <f t="shared" si="12"/>
        <v>2.5445292620865142E-3</v>
      </c>
      <c r="O77">
        <f t="shared" si="11"/>
        <v>-2.5943925503754266</v>
      </c>
      <c r="V77" t="s">
        <v>1104</v>
      </c>
      <c r="W77" t="s">
        <v>1156</v>
      </c>
      <c r="Y77" t="str">
        <v>Turdus spp</v>
      </c>
      <c r="BG77" t="s">
        <v>1108</v>
      </c>
      <c r="BH77">
        <v>1</v>
      </c>
      <c r="BI77">
        <v>0</v>
      </c>
      <c r="BK77">
        <v>5.8139534883720929E-3</v>
      </c>
      <c r="BL77">
        <v>-2.2355284469075487</v>
      </c>
      <c r="CA77" t="s">
        <v>1141</v>
      </c>
      <c r="CC77">
        <v>5</v>
      </c>
    </row>
    <row r="78" spans="1:82" x14ac:dyDescent="0.3">
      <c r="A78" s="66"/>
      <c r="D78" t="s">
        <v>922</v>
      </c>
      <c r="E78">
        <v>1</v>
      </c>
      <c r="N78">
        <f t="shared" si="12"/>
        <v>2.5445292620865142E-3</v>
      </c>
      <c r="O78">
        <f t="shared" si="11"/>
        <v>-2.5943925503754266</v>
      </c>
      <c r="V78" t="s">
        <v>1106</v>
      </c>
      <c r="W78" t="s">
        <v>1082</v>
      </c>
      <c r="Y78" t="str">
        <v>Periparus ater</v>
      </c>
      <c r="BG78" t="s">
        <v>1141</v>
      </c>
      <c r="BH78">
        <v>0</v>
      </c>
      <c r="BI78">
        <v>5</v>
      </c>
      <c r="BS78">
        <v>1.2722646310432569E-2</v>
      </c>
      <c r="BT78">
        <v>-1.8954225460394079</v>
      </c>
      <c r="CA78" t="s">
        <v>1120</v>
      </c>
      <c r="CB78">
        <v>3</v>
      </c>
      <c r="CC78">
        <v>1</v>
      </c>
      <c r="CD78">
        <v>1</v>
      </c>
    </row>
    <row r="79" spans="1:82" x14ac:dyDescent="0.3">
      <c r="A79" s="66"/>
      <c r="D79" t="s">
        <v>928</v>
      </c>
      <c r="E79">
        <v>4</v>
      </c>
      <c r="N79">
        <f t="shared" si="12"/>
        <v>1.0178117048346057E-2</v>
      </c>
      <c r="O79">
        <f t="shared" si="11"/>
        <v>-1.9923325590474643</v>
      </c>
      <c r="V79" t="s">
        <v>1108</v>
      </c>
      <c r="W79" t="s">
        <v>1100</v>
      </c>
      <c r="Y79" t="str">
        <v>Falco tinnunculus</v>
      </c>
      <c r="BG79" t="s">
        <v>1120</v>
      </c>
      <c r="BH79">
        <v>3</v>
      </c>
      <c r="BI79">
        <v>1</v>
      </c>
      <c r="BJ79">
        <v>1</v>
      </c>
      <c r="BK79">
        <v>1.7441860465116279E-2</v>
      </c>
      <c r="BL79">
        <v>-1.7584071921878865</v>
      </c>
      <c r="BS79">
        <v>2.5445292620865142E-3</v>
      </c>
      <c r="BT79">
        <v>-2.5943925503754266</v>
      </c>
      <c r="CA79" t="s">
        <v>1204</v>
      </c>
      <c r="CB79">
        <v>1</v>
      </c>
    </row>
    <row r="80" spans="1:82" x14ac:dyDescent="0.3">
      <c r="A80" s="66"/>
      <c r="D80" t="s">
        <v>995</v>
      </c>
      <c r="E80">
        <v>1</v>
      </c>
      <c r="N80">
        <f t="shared" si="12"/>
        <v>2.5445292620865142E-3</v>
      </c>
      <c r="O80">
        <f t="shared" si="11"/>
        <v>-2.5943925503754266</v>
      </c>
      <c r="V80" t="s">
        <v>1082</v>
      </c>
      <c r="W80" t="s">
        <v>1087</v>
      </c>
      <c r="Y80" t="str">
        <v>Urtica_dioica</v>
      </c>
      <c r="BG80" t="s">
        <v>1204</v>
      </c>
      <c r="BH80">
        <v>1</v>
      </c>
      <c r="BI80">
        <v>0</v>
      </c>
      <c r="BK80">
        <v>5.8139534883720929E-3</v>
      </c>
      <c r="BL80">
        <v>-2.2355284469075487</v>
      </c>
      <c r="CA80" t="s">
        <v>1123</v>
      </c>
      <c r="CB80">
        <v>1</v>
      </c>
    </row>
    <row r="81" spans="1:82" x14ac:dyDescent="0.3">
      <c r="A81" s="66" t="s">
        <v>1169</v>
      </c>
      <c r="B81" t="s">
        <v>1030</v>
      </c>
      <c r="C81">
        <v>3</v>
      </c>
      <c r="D81" t="s">
        <v>1030</v>
      </c>
      <c r="E81">
        <v>3</v>
      </c>
      <c r="G81">
        <f t="shared" ref="G81:G93" si="13">C81/C$99</f>
        <v>1.7441860465116279E-2</v>
      </c>
      <c r="H81">
        <f t="shared" si="10"/>
        <v>-1.7584071921878865</v>
      </c>
      <c r="N81">
        <f t="shared" si="12"/>
        <v>7.6335877862595417E-3</v>
      </c>
      <c r="O81">
        <f t="shared" si="11"/>
        <v>-2.1172712956557644</v>
      </c>
      <c r="V81" t="s">
        <v>313</v>
      </c>
      <c r="W81" t="s">
        <v>1120</v>
      </c>
      <c r="Y81" t="str">
        <v>Nardus_stricta</v>
      </c>
      <c r="BG81" t="s">
        <v>1123</v>
      </c>
      <c r="BH81">
        <v>1</v>
      </c>
      <c r="BI81">
        <v>0</v>
      </c>
      <c r="BK81">
        <v>5.8139534883720929E-3</v>
      </c>
      <c r="BL81">
        <v>-2.2355284469075487</v>
      </c>
      <c r="CA81" t="s">
        <v>1202</v>
      </c>
      <c r="CC81">
        <v>3</v>
      </c>
    </row>
    <row r="82" spans="1:82" x14ac:dyDescent="0.3">
      <c r="A82" s="66"/>
      <c r="B82" t="s">
        <v>1036</v>
      </c>
      <c r="C82">
        <v>2</v>
      </c>
      <c r="D82" t="s">
        <v>1009</v>
      </c>
      <c r="E82">
        <v>1</v>
      </c>
      <c r="G82">
        <f t="shared" si="13"/>
        <v>1.1627906976744186E-2</v>
      </c>
      <c r="H82">
        <f t="shared" si="10"/>
        <v>-1.9344984512435677</v>
      </c>
      <c r="N82">
        <f t="shared" si="12"/>
        <v>2.5445292620865142E-3</v>
      </c>
      <c r="O82">
        <f t="shared" si="11"/>
        <v>-2.5943925503754266</v>
      </c>
      <c r="V82" t="s">
        <v>318</v>
      </c>
      <c r="Y82" t="str">
        <v>Trifolium_repens</v>
      </c>
      <c r="BG82" t="s">
        <v>1202</v>
      </c>
      <c r="BH82">
        <v>0</v>
      </c>
      <c r="BI82">
        <v>3</v>
      </c>
      <c r="BS82">
        <v>7.6335877862595417E-3</v>
      </c>
      <c r="BT82">
        <v>-2.1172712956557644</v>
      </c>
      <c r="CA82" t="s">
        <v>43</v>
      </c>
      <c r="CB82">
        <v>2</v>
      </c>
      <c r="CC82">
        <v>7</v>
      </c>
      <c r="CD82">
        <v>1</v>
      </c>
    </row>
    <row r="83" spans="1:82" x14ac:dyDescent="0.3">
      <c r="A83" s="66"/>
      <c r="B83" t="s">
        <v>1050</v>
      </c>
      <c r="C83">
        <v>1</v>
      </c>
      <c r="D83" t="s">
        <v>1036</v>
      </c>
      <c r="E83">
        <v>1</v>
      </c>
      <c r="G83">
        <f t="shared" si="13"/>
        <v>5.8139534883720929E-3</v>
      </c>
      <c r="H83">
        <f t="shared" si="10"/>
        <v>-2.2355284469075487</v>
      </c>
      <c r="N83">
        <f t="shared" si="12"/>
        <v>2.5445292620865142E-3</v>
      </c>
      <c r="O83">
        <f t="shared" si="11"/>
        <v>-2.5943925503754266</v>
      </c>
      <c r="V83" t="s">
        <v>261</v>
      </c>
      <c r="Y83" t="str">
        <v>Juncus_inflexus</v>
      </c>
      <c r="BG83" t="s">
        <v>43</v>
      </c>
      <c r="BH83">
        <v>2</v>
      </c>
      <c r="BI83">
        <v>7</v>
      </c>
      <c r="BJ83">
        <v>1</v>
      </c>
      <c r="BL83">
        <v>54</v>
      </c>
      <c r="BT83">
        <v>57</v>
      </c>
      <c r="CA83" t="s">
        <v>231</v>
      </c>
      <c r="CB83">
        <v>4</v>
      </c>
    </row>
    <row r="84" spans="1:82" x14ac:dyDescent="0.3">
      <c r="A84" s="66"/>
      <c r="B84" t="s">
        <v>1009</v>
      </c>
      <c r="C84">
        <v>2</v>
      </c>
      <c r="G84">
        <f t="shared" si="13"/>
        <v>1.1627906976744186E-2</v>
      </c>
      <c r="H84">
        <f t="shared" si="10"/>
        <v>-1.9344984512435677</v>
      </c>
      <c r="V84" t="s">
        <v>324</v>
      </c>
      <c r="Y84" t="str">
        <v>Carex</v>
      </c>
      <c r="BG84" t="s">
        <v>231</v>
      </c>
      <c r="BH84">
        <v>4</v>
      </c>
      <c r="BI84">
        <v>0</v>
      </c>
      <c r="CA84" t="s">
        <v>167</v>
      </c>
      <c r="CB84">
        <v>10</v>
      </c>
    </row>
    <row r="85" spans="1:82" x14ac:dyDescent="0.3">
      <c r="A85" s="66" t="s">
        <v>1168</v>
      </c>
      <c r="B85" t="s">
        <v>1077</v>
      </c>
      <c r="C85">
        <v>6</v>
      </c>
      <c r="D85" t="s">
        <v>1114</v>
      </c>
      <c r="E85">
        <v>2</v>
      </c>
      <c r="G85">
        <f t="shared" si="13"/>
        <v>3.4883720930232558E-2</v>
      </c>
      <c r="H85">
        <f t="shared" si="10"/>
        <v>-1.4573771965239053</v>
      </c>
      <c r="N85">
        <f t="shared" ref="N85:N95" si="14">E85/E$99</f>
        <v>5.0890585241730284E-3</v>
      </c>
      <c r="O85">
        <f t="shared" si="11"/>
        <v>-2.2933625547114453</v>
      </c>
      <c r="V85" t="s">
        <v>43</v>
      </c>
      <c r="Y85" t="str">
        <v>Myrica_gale</v>
      </c>
      <c r="BG85" t="s">
        <v>167</v>
      </c>
      <c r="BH85">
        <v>10</v>
      </c>
      <c r="BI85">
        <v>0</v>
      </c>
      <c r="CA85" t="s">
        <v>125</v>
      </c>
      <c r="CB85">
        <v>8</v>
      </c>
    </row>
    <row r="86" spans="1:82" x14ac:dyDescent="0.3">
      <c r="A86" s="66"/>
      <c r="B86" t="s">
        <v>1114</v>
      </c>
      <c r="C86">
        <v>4</v>
      </c>
      <c r="D86" t="s">
        <v>1131</v>
      </c>
      <c r="E86">
        <v>4</v>
      </c>
      <c r="G86">
        <f t="shared" si="13"/>
        <v>2.3255813953488372E-2</v>
      </c>
      <c r="H86">
        <f t="shared" si="10"/>
        <v>-1.6334684555795866</v>
      </c>
      <c r="N86">
        <f t="shared" si="14"/>
        <v>1.0178117048346057E-2</v>
      </c>
      <c r="O86">
        <f t="shared" si="11"/>
        <v>-1.9923325590474643</v>
      </c>
      <c r="V86" t="s">
        <v>338</v>
      </c>
      <c r="Y86" t="str">
        <v>Sphagnum</v>
      </c>
      <c r="BG86" t="s">
        <v>125</v>
      </c>
      <c r="BH86">
        <v>8</v>
      </c>
      <c r="BI86">
        <v>0</v>
      </c>
      <c r="CA86" t="s">
        <v>358</v>
      </c>
      <c r="CC86">
        <v>6</v>
      </c>
    </row>
    <row r="87" spans="1:82" x14ac:dyDescent="0.3">
      <c r="A87" s="66"/>
      <c r="B87" t="s">
        <v>1117</v>
      </c>
      <c r="C87">
        <v>2</v>
      </c>
      <c r="D87" t="s">
        <v>1077</v>
      </c>
      <c r="E87">
        <v>9</v>
      </c>
      <c r="G87">
        <f t="shared" si="13"/>
        <v>1.1627906976744186E-2</v>
      </c>
      <c r="H87">
        <f t="shared" si="10"/>
        <v>-1.9344984512435677</v>
      </c>
      <c r="N87">
        <f t="shared" si="14"/>
        <v>2.2900763358778626E-2</v>
      </c>
      <c r="O87">
        <f t="shared" si="11"/>
        <v>-1.6401500409361018</v>
      </c>
      <c r="V87" t="s">
        <v>203</v>
      </c>
      <c r="Y87" t="str">
        <v>Galium_saxatile</v>
      </c>
      <c r="BG87" t="s">
        <v>358</v>
      </c>
      <c r="BH87">
        <v>0</v>
      </c>
      <c r="BI87">
        <v>6</v>
      </c>
      <c r="CA87" t="s">
        <v>998</v>
      </c>
      <c r="CB87">
        <v>1</v>
      </c>
    </row>
    <row r="88" spans="1:82" x14ac:dyDescent="0.3">
      <c r="A88" s="66"/>
      <c r="B88" t="s">
        <v>1120</v>
      </c>
      <c r="C88">
        <v>3</v>
      </c>
      <c r="D88" t="s">
        <v>1152</v>
      </c>
      <c r="E88">
        <v>1</v>
      </c>
      <c r="G88">
        <f t="shared" si="13"/>
        <v>1.7441860465116279E-2</v>
      </c>
      <c r="H88">
        <f t="shared" si="10"/>
        <v>-1.7584071921878865</v>
      </c>
      <c r="N88">
        <f t="shared" si="14"/>
        <v>2.5445292620865142E-3</v>
      </c>
      <c r="O88">
        <f t="shared" si="11"/>
        <v>-2.5943925503754266</v>
      </c>
      <c r="V88" t="s">
        <v>101</v>
      </c>
      <c r="Y88" t="str">
        <v>Rhytidiadelphus_triquetrus</v>
      </c>
      <c r="BG88" t="s">
        <v>998</v>
      </c>
      <c r="BH88">
        <v>1</v>
      </c>
      <c r="BI88">
        <v>0</v>
      </c>
      <c r="CA88" t="s">
        <v>261</v>
      </c>
      <c r="CB88">
        <v>2</v>
      </c>
      <c r="CC88">
        <v>5</v>
      </c>
      <c r="CD88">
        <v>1</v>
      </c>
    </row>
    <row r="89" spans="1:82" x14ac:dyDescent="0.3">
      <c r="A89" s="66"/>
      <c r="B89" t="s">
        <v>1125</v>
      </c>
      <c r="C89">
        <v>3</v>
      </c>
      <c r="D89" t="s">
        <v>1141</v>
      </c>
      <c r="E89">
        <v>5</v>
      </c>
      <c r="G89">
        <f t="shared" si="13"/>
        <v>1.7441860465116279E-2</v>
      </c>
      <c r="H89">
        <f t="shared" si="10"/>
        <v>-1.7584071921878865</v>
      </c>
      <c r="N89">
        <f t="shared" si="14"/>
        <v>1.2722646310432569E-2</v>
      </c>
      <c r="O89">
        <f t="shared" si="11"/>
        <v>-1.8954225460394079</v>
      </c>
      <c r="V89" t="s">
        <v>171</v>
      </c>
      <c r="Y89" t="str">
        <v>Primula_vulgaris</v>
      </c>
      <c r="BG89" t="s">
        <v>261</v>
      </c>
      <c r="BH89">
        <v>2</v>
      </c>
      <c r="BI89">
        <v>5</v>
      </c>
      <c r="BJ89">
        <v>1</v>
      </c>
      <c r="CA89" t="s">
        <v>144</v>
      </c>
      <c r="CB89">
        <v>2</v>
      </c>
    </row>
    <row r="90" spans="1:82" x14ac:dyDescent="0.3">
      <c r="A90" s="66"/>
      <c r="B90" t="s">
        <v>1087</v>
      </c>
      <c r="C90">
        <v>16</v>
      </c>
      <c r="D90" t="s">
        <v>1156</v>
      </c>
      <c r="E90">
        <v>1</v>
      </c>
      <c r="G90">
        <f t="shared" si="13"/>
        <v>9.3023255813953487E-2</v>
      </c>
      <c r="H90">
        <f t="shared" si="10"/>
        <v>-1.0314084642516241</v>
      </c>
      <c r="N90">
        <f t="shared" si="14"/>
        <v>2.5445292620865142E-3</v>
      </c>
      <c r="O90">
        <f t="shared" si="11"/>
        <v>-2.5943925503754266</v>
      </c>
      <c r="V90" t="s">
        <v>358</v>
      </c>
      <c r="Y90" t="str">
        <v>Polytrichum_commune</v>
      </c>
      <c r="BG90" t="s">
        <v>144</v>
      </c>
      <c r="BH90">
        <v>2</v>
      </c>
      <c r="BI90">
        <v>0</v>
      </c>
      <c r="CA90" t="s">
        <v>177</v>
      </c>
      <c r="CB90">
        <v>1</v>
      </c>
    </row>
    <row r="91" spans="1:82" x14ac:dyDescent="0.3">
      <c r="A91" s="66"/>
      <c r="B91" t="s">
        <v>1098</v>
      </c>
      <c r="C91">
        <v>1</v>
      </c>
      <c r="D91" t="s">
        <v>1082</v>
      </c>
      <c r="E91">
        <v>1</v>
      </c>
      <c r="G91">
        <f t="shared" si="13"/>
        <v>5.8139534883720929E-3</v>
      </c>
      <c r="H91">
        <f t="shared" si="10"/>
        <v>-2.2355284469075487</v>
      </c>
      <c r="N91">
        <f t="shared" si="14"/>
        <v>2.5445292620865142E-3</v>
      </c>
      <c r="O91">
        <f t="shared" si="11"/>
        <v>-2.5943925503754266</v>
      </c>
      <c r="V91" t="s">
        <v>25</v>
      </c>
      <c r="Y91" t="str">
        <v>Chestnut_moth</v>
      </c>
      <c r="BG91" t="s">
        <v>177</v>
      </c>
      <c r="BH91">
        <v>1</v>
      </c>
      <c r="BI91">
        <v>0</v>
      </c>
      <c r="CA91" t="s">
        <v>130</v>
      </c>
      <c r="CB91">
        <v>9</v>
      </c>
    </row>
    <row r="92" spans="1:82" x14ac:dyDescent="0.3">
      <c r="A92" s="66"/>
      <c r="B92" t="s">
        <v>1100</v>
      </c>
      <c r="C92">
        <v>1</v>
      </c>
      <c r="D92" t="s">
        <v>1100</v>
      </c>
      <c r="E92">
        <v>1</v>
      </c>
      <c r="G92">
        <f t="shared" si="13"/>
        <v>5.8139534883720929E-3</v>
      </c>
      <c r="H92">
        <f t="shared" si="10"/>
        <v>-2.2355284469075487</v>
      </c>
      <c r="N92">
        <f t="shared" si="14"/>
        <v>2.5445292620865142E-3</v>
      </c>
      <c r="O92">
        <f t="shared" si="11"/>
        <v>-2.5943925503754266</v>
      </c>
      <c r="V92" t="s">
        <v>378</v>
      </c>
      <c r="Y92" t="str">
        <v>Pink_barred_sallow_moth</v>
      </c>
      <c r="BG92" t="s">
        <v>130</v>
      </c>
      <c r="BH92">
        <v>9</v>
      </c>
      <c r="BI92">
        <v>0</v>
      </c>
      <c r="CA92" t="s">
        <v>48</v>
      </c>
      <c r="CB92">
        <v>17</v>
      </c>
    </row>
    <row r="93" spans="1:82" x14ac:dyDescent="0.3">
      <c r="A93" s="66"/>
      <c r="B93" t="s">
        <v>1102</v>
      </c>
      <c r="C93">
        <v>1</v>
      </c>
      <c r="D93" t="s">
        <v>1087</v>
      </c>
      <c r="E93">
        <v>5</v>
      </c>
      <c r="G93">
        <f t="shared" si="13"/>
        <v>5.8139534883720929E-3</v>
      </c>
      <c r="H93">
        <f t="shared" si="10"/>
        <v>-2.2355284469075487</v>
      </c>
      <c r="N93">
        <f t="shared" si="14"/>
        <v>1.2722646310432569E-2</v>
      </c>
      <c r="O93">
        <f t="shared" si="11"/>
        <v>-1.8954225460394079</v>
      </c>
      <c r="V93" t="s">
        <v>384</v>
      </c>
      <c r="Y93" t="str">
        <v>Leaf_curling_sac_spiders</v>
      </c>
      <c r="BG93" t="s">
        <v>48</v>
      </c>
      <c r="BH93">
        <v>17</v>
      </c>
      <c r="BI93">
        <v>0</v>
      </c>
      <c r="CA93" t="s">
        <v>394</v>
      </c>
      <c r="CC93">
        <v>6</v>
      </c>
    </row>
    <row r="94" spans="1:82" x14ac:dyDescent="0.3">
      <c r="A94" s="66"/>
      <c r="B94" t="s">
        <v>1104</v>
      </c>
      <c r="C94">
        <v>16</v>
      </c>
      <c r="D94" t="s">
        <v>1120</v>
      </c>
      <c r="E94">
        <v>1</v>
      </c>
      <c r="G94">
        <f t="shared" ref="G94:G98" si="15">C94/C$99</f>
        <v>9.3023255813953487E-2</v>
      </c>
      <c r="H94">
        <f t="shared" ref="H94:H98" si="16">LOG(G94)</f>
        <v>-1.0314084642516241</v>
      </c>
      <c r="N94">
        <f t="shared" si="14"/>
        <v>2.5445292620865142E-3</v>
      </c>
      <c r="O94">
        <f t="shared" ref="O94:O95" si="17">LOG(N94)</f>
        <v>-2.5943925503754266</v>
      </c>
      <c r="V94" t="s">
        <v>394</v>
      </c>
      <c r="Y94" t="str">
        <v>Common_marbled_carpet</v>
      </c>
      <c r="BG94" t="s">
        <v>394</v>
      </c>
      <c r="BH94">
        <v>0</v>
      </c>
      <c r="BI94">
        <v>6</v>
      </c>
      <c r="CA94" t="s">
        <v>171</v>
      </c>
      <c r="CB94">
        <v>11</v>
      </c>
      <c r="CC94">
        <v>10</v>
      </c>
      <c r="CD94">
        <v>1</v>
      </c>
    </row>
    <row r="95" spans="1:82" x14ac:dyDescent="0.3">
      <c r="A95" s="66"/>
      <c r="B95" t="s">
        <v>1106</v>
      </c>
      <c r="C95">
        <v>1</v>
      </c>
      <c r="D95" t="s">
        <v>1170</v>
      </c>
      <c r="E95">
        <v>3</v>
      </c>
      <c r="G95">
        <f t="shared" si="15"/>
        <v>5.8139534883720929E-3</v>
      </c>
      <c r="H95">
        <f t="shared" si="16"/>
        <v>-2.2355284469075487</v>
      </c>
      <c r="N95">
        <f t="shared" si="14"/>
        <v>7.6335877862595417E-3</v>
      </c>
      <c r="O95">
        <f t="shared" si="17"/>
        <v>-2.1172712956557644</v>
      </c>
      <c r="V95" t="s">
        <v>408</v>
      </c>
      <c r="Y95" t="str">
        <v xml:space="preserve">Dark_winged_fungus_gnats </v>
      </c>
      <c r="BG95" t="s">
        <v>171</v>
      </c>
      <c r="BH95">
        <v>11</v>
      </c>
      <c r="BI95">
        <v>10</v>
      </c>
      <c r="BJ95">
        <v>1</v>
      </c>
      <c r="CA95" t="s">
        <v>292</v>
      </c>
      <c r="CB95">
        <v>1</v>
      </c>
    </row>
    <row r="96" spans="1:82" x14ac:dyDescent="0.3">
      <c r="A96" s="66"/>
      <c r="B96" t="s">
        <v>1108</v>
      </c>
      <c r="C96">
        <v>1</v>
      </c>
      <c r="G96">
        <f t="shared" si="15"/>
        <v>5.8139534883720929E-3</v>
      </c>
      <c r="H96">
        <f t="shared" si="16"/>
        <v>-2.2355284469075487</v>
      </c>
      <c r="V96" t="s">
        <v>272</v>
      </c>
      <c r="Y96" t="str">
        <v>Crane_fly</v>
      </c>
      <c r="BG96" t="s">
        <v>292</v>
      </c>
      <c r="BH96">
        <v>1</v>
      </c>
      <c r="BI96">
        <v>0</v>
      </c>
      <c r="CA96" t="s">
        <v>203</v>
      </c>
      <c r="CB96">
        <v>1</v>
      </c>
      <c r="CC96">
        <v>2</v>
      </c>
      <c r="CD96">
        <v>1</v>
      </c>
    </row>
    <row r="97" spans="1:84" x14ac:dyDescent="0.3">
      <c r="A97" s="66"/>
      <c r="B97" t="s">
        <v>1082</v>
      </c>
      <c r="C97">
        <v>1</v>
      </c>
      <c r="G97">
        <f t="shared" si="15"/>
        <v>5.8139534883720929E-3</v>
      </c>
      <c r="H97">
        <f t="shared" si="16"/>
        <v>-2.2355284469075487</v>
      </c>
      <c r="V97" t="s">
        <v>459</v>
      </c>
      <c r="Y97" t="str">
        <v>European_crane_fly</v>
      </c>
      <c r="BG97" t="s">
        <v>203</v>
      </c>
      <c r="BH97">
        <v>1</v>
      </c>
      <c r="BI97">
        <v>2</v>
      </c>
      <c r="BJ97">
        <v>1</v>
      </c>
      <c r="CA97" t="s">
        <v>338</v>
      </c>
      <c r="CC97">
        <v>1</v>
      </c>
    </row>
    <row r="98" spans="1:84" x14ac:dyDescent="0.3">
      <c r="A98" s="66"/>
      <c r="B98" t="s">
        <v>1123</v>
      </c>
      <c r="C98">
        <v>1</v>
      </c>
      <c r="G98">
        <f t="shared" si="15"/>
        <v>5.8139534883720929E-3</v>
      </c>
      <c r="H98">
        <f t="shared" si="16"/>
        <v>-2.2355284469075487</v>
      </c>
      <c r="V98" t="s">
        <v>482</v>
      </c>
      <c r="Y98" t="str">
        <v>Neglected_rustic</v>
      </c>
      <c r="BG98" t="s">
        <v>338</v>
      </c>
      <c r="BH98">
        <v>0</v>
      </c>
      <c r="BI98">
        <v>1</v>
      </c>
      <c r="CA98" t="s">
        <v>67</v>
      </c>
      <c r="CB98">
        <v>1</v>
      </c>
    </row>
    <row r="99" spans="1:84" x14ac:dyDescent="0.3">
      <c r="B99">
        <f>COUNTA(B29:B98)</f>
        <v>56</v>
      </c>
      <c r="C99">
        <f>SUM(C29:C98)</f>
        <v>172</v>
      </c>
      <c r="D99">
        <f>COUNTA(D29:D98)</f>
        <v>63</v>
      </c>
      <c r="E99">
        <f>SUM(E29:E98)</f>
        <v>393</v>
      </c>
      <c r="V99" t="s">
        <v>537</v>
      </c>
      <c r="Y99" t="str">
        <v xml:space="preserve">Sheep_tick </v>
      </c>
      <c r="BG99" t="s">
        <v>67</v>
      </c>
      <c r="BH99">
        <v>1</v>
      </c>
      <c r="BI99">
        <v>0</v>
      </c>
      <c r="CA99" t="s">
        <v>999</v>
      </c>
      <c r="CB99">
        <v>1</v>
      </c>
    </row>
    <row r="100" spans="1:84" x14ac:dyDescent="0.3">
      <c r="B100">
        <f>COUNTA((B2:B98))</f>
        <v>81</v>
      </c>
      <c r="D100">
        <f>COUNTA(D2:D98)</f>
        <v>82</v>
      </c>
      <c r="V100" t="s">
        <v>593</v>
      </c>
      <c r="Y100" t="str">
        <v>White_legged_snake_millipede</v>
      </c>
      <c r="BG100" t="s">
        <v>999</v>
      </c>
      <c r="BH100">
        <v>1</v>
      </c>
      <c r="BI100">
        <v>0</v>
      </c>
      <c r="CA100" t="s">
        <v>378</v>
      </c>
      <c r="CC100">
        <v>1</v>
      </c>
    </row>
    <row r="101" spans="1:84" x14ac:dyDescent="0.3">
      <c r="V101" t="s">
        <v>553</v>
      </c>
      <c r="Y101" t="str">
        <v>Spider</v>
      </c>
      <c r="BG101" t="s">
        <v>378</v>
      </c>
      <c r="BH101">
        <v>0</v>
      </c>
      <c r="BI101">
        <v>1</v>
      </c>
      <c r="CA101" t="s">
        <v>318</v>
      </c>
      <c r="CC101">
        <v>25</v>
      </c>
    </row>
    <row r="102" spans="1:84" x14ac:dyDescent="0.3">
      <c r="V102" t="s">
        <v>597</v>
      </c>
      <c r="Y102" t="str">
        <v>Dor_beetle</v>
      </c>
      <c r="BG102" t="s">
        <v>318</v>
      </c>
      <c r="BH102">
        <v>0</v>
      </c>
      <c r="BI102">
        <v>25</v>
      </c>
      <c r="CA102" t="s">
        <v>307</v>
      </c>
      <c r="CB102">
        <v>1</v>
      </c>
    </row>
    <row r="103" spans="1:84" x14ac:dyDescent="0.3">
      <c r="V103" t="s">
        <v>600</v>
      </c>
      <c r="Y103" t="str">
        <v>Caterpillar</v>
      </c>
      <c r="BG103" t="s">
        <v>307</v>
      </c>
      <c r="BH103">
        <v>1</v>
      </c>
      <c r="BI103">
        <v>0</v>
      </c>
      <c r="CA103" t="s">
        <v>482</v>
      </c>
      <c r="CC103">
        <v>2</v>
      </c>
    </row>
    <row r="104" spans="1:84" x14ac:dyDescent="0.3">
      <c r="V104" t="s">
        <v>563</v>
      </c>
      <c r="Y104" t="str">
        <v>Drinker_moth</v>
      </c>
      <c r="BG104" t="s">
        <v>482</v>
      </c>
      <c r="BH104">
        <v>0</v>
      </c>
      <c r="BI104">
        <v>2</v>
      </c>
      <c r="CA104" t="s">
        <v>101</v>
      </c>
      <c r="CB104">
        <v>9</v>
      </c>
      <c r="CC104">
        <v>14</v>
      </c>
      <c r="CD104">
        <v>1</v>
      </c>
    </row>
    <row r="105" spans="1:84" x14ac:dyDescent="0.3">
      <c r="V105" t="s">
        <v>604</v>
      </c>
      <c r="Y105" t="str">
        <v>Thrip</v>
      </c>
      <c r="BG105" t="s">
        <v>101</v>
      </c>
      <c r="BH105">
        <v>9</v>
      </c>
      <c r="BI105">
        <v>14</v>
      </c>
      <c r="BJ105">
        <v>1</v>
      </c>
      <c r="CA105" t="s">
        <v>459</v>
      </c>
      <c r="CC105">
        <v>1</v>
      </c>
    </row>
    <row r="106" spans="1:84" x14ac:dyDescent="0.3">
      <c r="V106" t="s">
        <v>578</v>
      </c>
      <c r="Y106" t="str">
        <v>Insect</v>
      </c>
      <c r="BG106" t="s">
        <v>459</v>
      </c>
      <c r="BH106">
        <v>0</v>
      </c>
      <c r="BI106">
        <v>1</v>
      </c>
      <c r="CA106" t="s">
        <v>25</v>
      </c>
      <c r="CB106">
        <v>17</v>
      </c>
      <c r="CC106">
        <v>12</v>
      </c>
      <c r="CD106">
        <v>1</v>
      </c>
      <c r="CE106" t="s">
        <v>1209</v>
      </c>
      <c r="CF106">
        <f>COUNTA(CA2:CA121)</f>
        <v>120</v>
      </c>
    </row>
    <row r="107" spans="1:84" x14ac:dyDescent="0.3">
      <c r="V107" t="s">
        <v>608</v>
      </c>
      <c r="Y107" t="str">
        <v>Harverstman_spider</v>
      </c>
      <c r="BG107" t="s">
        <v>25</v>
      </c>
      <c r="BH107">
        <v>17</v>
      </c>
      <c r="BI107">
        <v>12</v>
      </c>
      <c r="BJ107">
        <v>1</v>
      </c>
      <c r="BK107" t="s">
        <v>1209</v>
      </c>
      <c r="BL107">
        <f>COUNTA(BG3:BG117)</f>
        <v>115</v>
      </c>
      <c r="CA107" t="s">
        <v>97</v>
      </c>
      <c r="CB107">
        <v>3</v>
      </c>
      <c r="CE107" t="s">
        <v>1191</v>
      </c>
      <c r="CF107">
        <f>COUNTA(CD2:CD121)</f>
        <v>40</v>
      </c>
    </row>
    <row r="108" spans="1:84" x14ac:dyDescent="0.3">
      <c r="V108" t="s">
        <v>611</v>
      </c>
      <c r="Y108" t="str">
        <v>Springtail</v>
      </c>
      <c r="BG108" t="s">
        <v>97</v>
      </c>
      <c r="BH108">
        <v>3</v>
      </c>
      <c r="BI108">
        <v>0</v>
      </c>
      <c r="BK108" t="s">
        <v>1191</v>
      </c>
      <c r="BL108">
        <f>COUNT(BJ3:BJ117)</f>
        <v>38</v>
      </c>
      <c r="CA108" t="s">
        <v>58</v>
      </c>
      <c r="CB108">
        <v>18</v>
      </c>
      <c r="CE108" t="s">
        <v>1210</v>
      </c>
      <c r="CF108">
        <f>COUNT(CB2:CB121)</f>
        <v>80</v>
      </c>
    </row>
    <row r="109" spans="1:84" x14ac:dyDescent="0.3">
      <c r="V109" t="s">
        <v>614</v>
      </c>
      <c r="Y109" t="str">
        <v>Woodland_ground_beetle</v>
      </c>
      <c r="BG109" t="s">
        <v>58</v>
      </c>
      <c r="BH109">
        <v>18</v>
      </c>
      <c r="BI109">
        <v>0</v>
      </c>
      <c r="BK109" t="s">
        <v>1210</v>
      </c>
      <c r="BL109">
        <f>COUNT(BH3:BH117)</f>
        <v>115</v>
      </c>
      <c r="CA109" t="s">
        <v>408</v>
      </c>
      <c r="CC109">
        <v>2</v>
      </c>
      <c r="CE109" t="s">
        <v>1211</v>
      </c>
      <c r="CF109">
        <f>COUNT(CC2:CC121)</f>
        <v>80</v>
      </c>
    </row>
    <row r="110" spans="1:84" x14ac:dyDescent="0.3">
      <c r="V110" t="s">
        <v>616</v>
      </c>
      <c r="Y110" t="str">
        <v>Blackfly_larvae</v>
      </c>
      <c r="BG110" t="s">
        <v>408</v>
      </c>
      <c r="BH110">
        <v>0</v>
      </c>
      <c r="BI110">
        <v>2</v>
      </c>
      <c r="BK110" t="s">
        <v>1211</v>
      </c>
      <c r="BL110">
        <f>COUNT(BI3:BI117)</f>
        <v>115</v>
      </c>
      <c r="CA110" t="s">
        <v>37</v>
      </c>
      <c r="CB110">
        <v>10</v>
      </c>
    </row>
    <row r="111" spans="1:84" x14ac:dyDescent="0.3">
      <c r="V111" t="s">
        <v>568</v>
      </c>
      <c r="Y111" t="str">
        <v>Diving_beetle</v>
      </c>
      <c r="BG111" t="s">
        <v>37</v>
      </c>
      <c r="BH111">
        <v>10</v>
      </c>
      <c r="BI111">
        <v>0</v>
      </c>
      <c r="CA111" t="s">
        <v>384</v>
      </c>
      <c r="CC111">
        <v>1</v>
      </c>
    </row>
    <row r="112" spans="1:84" x14ac:dyDescent="0.3">
      <c r="V112" t="s">
        <v>544</v>
      </c>
      <c r="Y112" t="str">
        <v>Lesser Water Boatman</v>
      </c>
      <c r="BG112" t="s">
        <v>384</v>
      </c>
      <c r="BH112">
        <v>0</v>
      </c>
      <c r="BI112">
        <v>1</v>
      </c>
      <c r="CA112" t="s">
        <v>62</v>
      </c>
      <c r="CB112">
        <v>5</v>
      </c>
      <c r="CF112">
        <f>(2*CF107)/(CF108+CF109)</f>
        <v>0.5</v>
      </c>
    </row>
    <row r="113" spans="22:82" x14ac:dyDescent="0.3">
      <c r="V113" t="s">
        <v>571</v>
      </c>
      <c r="Y113" t="str">
        <v>Damselfly_larvae</v>
      </c>
      <c r="BG113" t="s">
        <v>62</v>
      </c>
      <c r="BH113">
        <v>5</v>
      </c>
      <c r="BI113">
        <v>0</v>
      </c>
      <c r="BL113">
        <f>(2*BL108)/(BL109+BL110)</f>
        <v>0.33043478260869563</v>
      </c>
      <c r="CA113" t="s">
        <v>324</v>
      </c>
      <c r="CC113">
        <v>2</v>
      </c>
    </row>
    <row r="114" spans="22:82" x14ac:dyDescent="0.3">
      <c r="V114" t="s">
        <v>575</v>
      </c>
      <c r="Y114" t="str">
        <v>Greater Water Boatman</v>
      </c>
      <c r="BG114" t="s">
        <v>324</v>
      </c>
      <c r="BH114">
        <v>0</v>
      </c>
      <c r="BI114">
        <v>2</v>
      </c>
      <c r="CA114" t="s">
        <v>119</v>
      </c>
      <c r="CB114">
        <v>1</v>
      </c>
    </row>
    <row r="115" spans="22:82" x14ac:dyDescent="0.3">
      <c r="V115" t="s">
        <v>582</v>
      </c>
      <c r="Y115" t="str">
        <v xml:space="preserve">Waterbeetle_larvae </v>
      </c>
      <c r="BG115" t="s">
        <v>119</v>
      </c>
      <c r="BH115">
        <v>1</v>
      </c>
      <c r="BI115">
        <v>0</v>
      </c>
      <c r="CA115" t="s">
        <v>313</v>
      </c>
      <c r="CC115">
        <v>2</v>
      </c>
    </row>
    <row r="116" spans="22:82" x14ac:dyDescent="0.3">
      <c r="V116" t="s">
        <v>586</v>
      </c>
      <c r="Y116" t="str">
        <v>Caddisfly_case</v>
      </c>
      <c r="BG116" t="s">
        <v>313</v>
      </c>
      <c r="BH116">
        <v>0</v>
      </c>
      <c r="BI116">
        <v>2</v>
      </c>
      <c r="CA116" t="s">
        <v>272</v>
      </c>
      <c r="CB116">
        <v>2</v>
      </c>
      <c r="CC116">
        <v>2</v>
      </c>
      <c r="CD116">
        <v>1</v>
      </c>
    </row>
    <row r="117" spans="22:82" x14ac:dyDescent="0.3">
      <c r="V117" t="s">
        <v>657</v>
      </c>
      <c r="Y117" t="str">
        <v>Corvus corax</v>
      </c>
      <c r="BG117" t="s">
        <v>272</v>
      </c>
      <c r="BH117">
        <v>2</v>
      </c>
      <c r="BI117">
        <v>2</v>
      </c>
      <c r="BJ117">
        <v>1</v>
      </c>
      <c r="CA117" t="s">
        <v>1262</v>
      </c>
      <c r="CC117">
        <v>1</v>
      </c>
    </row>
    <row r="118" spans="22:82" x14ac:dyDescent="0.3">
      <c r="V118" t="s">
        <v>660</v>
      </c>
      <c r="Y118" t="str">
        <v>Certhia familiaris</v>
      </c>
      <c r="BH118">
        <f>SUM(BH3:BH117)</f>
        <v>309</v>
      </c>
      <c r="BI118">
        <f>SUM(BI3:BI117)</f>
        <v>494</v>
      </c>
      <c r="CA118" t="s">
        <v>1267</v>
      </c>
      <c r="CC118">
        <v>1</v>
      </c>
    </row>
    <row r="119" spans="22:82" x14ac:dyDescent="0.3">
      <c r="V119" t="s">
        <v>685</v>
      </c>
      <c r="Y119" t="str">
        <v>Troglodytes troglodytes</v>
      </c>
      <c r="CA119" t="s">
        <v>1251</v>
      </c>
      <c r="CB119">
        <v>1</v>
      </c>
      <c r="CC119">
        <v>1</v>
      </c>
      <c r="CD119">
        <v>1</v>
      </c>
    </row>
    <row r="120" spans="22:82" x14ac:dyDescent="0.3">
      <c r="V120" t="s">
        <v>703</v>
      </c>
      <c r="Y120" t="str">
        <v>Aegithalos caudatus</v>
      </c>
      <c r="CA120" t="s">
        <v>1237</v>
      </c>
      <c r="CB120">
        <v>1</v>
      </c>
      <c r="CC120">
        <v>1</v>
      </c>
      <c r="CD120">
        <v>1</v>
      </c>
    </row>
    <row r="121" spans="22:82" x14ac:dyDescent="0.3">
      <c r="V121" t="s">
        <v>774</v>
      </c>
      <c r="CA121" t="s">
        <v>1277</v>
      </c>
      <c r="CC121">
        <v>1</v>
      </c>
    </row>
    <row r="122" spans="22:82" x14ac:dyDescent="0.3">
      <c r="V122" t="s">
        <v>768</v>
      </c>
      <c r="CB122">
        <f>SUM(CB2:CB116)+7</f>
        <v>316</v>
      </c>
      <c r="CC122">
        <f>SUM(CC2:CC116)+15</f>
        <v>509</v>
      </c>
    </row>
    <row r="123" spans="22:82" x14ac:dyDescent="0.3">
      <c r="V123" t="s">
        <v>834</v>
      </c>
    </row>
    <row r="124" spans="22:82" x14ac:dyDescent="0.3">
      <c r="V124" t="s">
        <v>843</v>
      </c>
    </row>
    <row r="125" spans="22:82" x14ac:dyDescent="0.3">
      <c r="V125" t="s">
        <v>737</v>
      </c>
    </row>
    <row r="126" spans="22:82" x14ac:dyDescent="0.3">
      <c r="V126" t="s">
        <v>868</v>
      </c>
    </row>
    <row r="127" spans="22:82" x14ac:dyDescent="0.3">
      <c r="V127" t="s">
        <v>616</v>
      </c>
    </row>
    <row r="128" spans="22:82" x14ac:dyDescent="0.3">
      <c r="V128" t="s">
        <v>689</v>
      </c>
    </row>
    <row r="129" spans="22:22" x14ac:dyDescent="0.3">
      <c r="V129" t="s">
        <v>722</v>
      </c>
    </row>
    <row r="130" spans="22:22" x14ac:dyDescent="0.3">
      <c r="V130" t="s">
        <v>677</v>
      </c>
    </row>
    <row r="131" spans="22:22" x14ac:dyDescent="0.3">
      <c r="V131" t="s">
        <v>633</v>
      </c>
    </row>
    <row r="132" spans="22:22" x14ac:dyDescent="0.3">
      <c r="V132" t="s">
        <v>757</v>
      </c>
    </row>
    <row r="133" spans="22:22" x14ac:dyDescent="0.3">
      <c r="V133" t="s">
        <v>692</v>
      </c>
    </row>
    <row r="134" spans="22:22" x14ac:dyDescent="0.3">
      <c r="V134" t="s">
        <v>697</v>
      </c>
    </row>
    <row r="135" spans="22:22" x14ac:dyDescent="0.3">
      <c r="V135" t="s">
        <v>902</v>
      </c>
    </row>
    <row r="136" spans="22:22" x14ac:dyDescent="0.3">
      <c r="V136" t="s">
        <v>907</v>
      </c>
    </row>
    <row r="137" spans="22:22" x14ac:dyDescent="0.3">
      <c r="V137" t="s">
        <v>976</v>
      </c>
    </row>
    <row r="138" spans="22:22" x14ac:dyDescent="0.3">
      <c r="V138" t="s">
        <v>979</v>
      </c>
    </row>
    <row r="139" spans="22:22" x14ac:dyDescent="0.3">
      <c r="V139" t="s">
        <v>984</v>
      </c>
    </row>
    <row r="140" spans="22:22" x14ac:dyDescent="0.3">
      <c r="V140" t="s">
        <v>947</v>
      </c>
    </row>
    <row r="141" spans="22:22" x14ac:dyDescent="0.3">
      <c r="V141" t="s">
        <v>990</v>
      </c>
    </row>
    <row r="142" spans="22:22" x14ac:dyDescent="0.3">
      <c r="V142" t="s">
        <v>911</v>
      </c>
    </row>
    <row r="143" spans="22:22" x14ac:dyDescent="0.3">
      <c r="V143" t="s">
        <v>914</v>
      </c>
    </row>
    <row r="144" spans="22:22" x14ac:dyDescent="0.3">
      <c r="V144" t="s">
        <v>918</v>
      </c>
    </row>
    <row r="145" spans="22:22" x14ac:dyDescent="0.3">
      <c r="V145" t="s">
        <v>922</v>
      </c>
    </row>
    <row r="146" spans="22:22" x14ac:dyDescent="0.3">
      <c r="V146" t="s">
        <v>928</v>
      </c>
    </row>
    <row r="147" spans="22:22" x14ac:dyDescent="0.3">
      <c r="V147" t="s">
        <v>995</v>
      </c>
    </row>
    <row r="148" spans="22:22" x14ac:dyDescent="0.3">
      <c r="V148" t="s">
        <v>1030</v>
      </c>
    </row>
    <row r="149" spans="22:22" x14ac:dyDescent="0.3">
      <c r="V149" t="s">
        <v>1009</v>
      </c>
    </row>
    <row r="150" spans="22:22" x14ac:dyDescent="0.3">
      <c r="V150" t="s">
        <v>1036</v>
      </c>
    </row>
    <row r="151" spans="22:22" x14ac:dyDescent="0.3">
      <c r="V151" t="s">
        <v>1114</v>
      </c>
    </row>
    <row r="152" spans="22:22" x14ac:dyDescent="0.3">
      <c r="V152" t="s">
        <v>1131</v>
      </c>
    </row>
    <row r="153" spans="22:22" x14ac:dyDescent="0.3">
      <c r="V153" t="s">
        <v>1077</v>
      </c>
    </row>
    <row r="154" spans="22:22" x14ac:dyDescent="0.3">
      <c r="V154" t="s">
        <v>1152</v>
      </c>
    </row>
    <row r="155" spans="22:22" x14ac:dyDescent="0.3">
      <c r="V155" t="s">
        <v>1141</v>
      </c>
    </row>
    <row r="156" spans="22:22" x14ac:dyDescent="0.3">
      <c r="V156" t="s">
        <v>1156</v>
      </c>
    </row>
    <row r="157" spans="22:22" x14ac:dyDescent="0.3">
      <c r="V157" t="s">
        <v>1082</v>
      </c>
    </row>
    <row r="158" spans="22:22" x14ac:dyDescent="0.3">
      <c r="V158" t="s">
        <v>1100</v>
      </c>
    </row>
    <row r="159" spans="22:22" x14ac:dyDescent="0.3">
      <c r="V159" t="s">
        <v>1087</v>
      </c>
    </row>
    <row r="160" spans="22:22" x14ac:dyDescent="0.3">
      <c r="V160" t="s">
        <v>1120</v>
      </c>
    </row>
  </sheetData>
  <sortState xmlns:xlrd2="http://schemas.microsoft.com/office/spreadsheetml/2017/richdata2" ref="AY3:BA40">
    <sortCondition ref="AY3:AY40"/>
  </sortState>
  <mergeCells count="20">
    <mergeCell ref="BD1:BE1"/>
    <mergeCell ref="BD8:BE8"/>
    <mergeCell ref="AZ1:BA1"/>
    <mergeCell ref="A52:A80"/>
    <mergeCell ref="A81:A84"/>
    <mergeCell ref="A85:A98"/>
    <mergeCell ref="AR1:AS1"/>
    <mergeCell ref="AV1:AW1"/>
    <mergeCell ref="J27:L27"/>
    <mergeCell ref="Q27:S27"/>
    <mergeCell ref="J31:L31"/>
    <mergeCell ref="Q31:S31"/>
    <mergeCell ref="A2:A25"/>
    <mergeCell ref="A29:A51"/>
    <mergeCell ref="CH13:CH14"/>
    <mergeCell ref="CH3:CH4"/>
    <mergeCell ref="CH5:CH6"/>
    <mergeCell ref="CH7:CH8"/>
    <mergeCell ref="CH9:CH10"/>
    <mergeCell ref="CH11:CH12"/>
  </mergeCells>
  <pageMargins left="0.7" right="0.7" top="0.75" bottom="0.75" header="0.3" footer="0.3"/>
  <ignoredErrors>
    <ignoredError sqref="C99" formula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BEEEA0-77DA-401E-9F23-B34A18007EC3}">
  <dimension ref="A1:AC104"/>
  <sheetViews>
    <sheetView tabSelected="1" workbookViewId="0">
      <selection activeCell="I16" sqref="I16"/>
    </sheetView>
  </sheetViews>
  <sheetFormatPr defaultRowHeight="14.4" x14ac:dyDescent="0.3"/>
  <cols>
    <col min="1" max="1" width="22.77734375" bestFit="1" customWidth="1"/>
    <col min="2" max="2" width="11.6640625" bestFit="1" customWidth="1"/>
    <col min="8" max="8" width="21" bestFit="1" customWidth="1"/>
    <col min="9" max="9" width="11.6640625" bestFit="1" customWidth="1"/>
    <col min="28" max="28" width="20.88671875" bestFit="1" customWidth="1"/>
    <col min="29" max="29" width="20.6640625" bestFit="1" customWidth="1"/>
  </cols>
  <sheetData>
    <row r="1" spans="1:29" x14ac:dyDescent="0.3">
      <c r="A1" t="s">
        <v>1304</v>
      </c>
      <c r="H1" t="s">
        <v>1305</v>
      </c>
      <c r="U1" t="s">
        <v>1513</v>
      </c>
      <c r="AB1" t="s">
        <v>1513</v>
      </c>
    </row>
    <row r="2" spans="1:29" x14ac:dyDescent="0.3">
      <c r="A2" t="s">
        <v>1306</v>
      </c>
      <c r="B2" t="s">
        <v>1416</v>
      </c>
      <c r="C2">
        <f>COUNTIF(A$2:A$71, B2)</f>
        <v>0</v>
      </c>
      <c r="D2" t="s">
        <v>1309</v>
      </c>
      <c r="F2" t="s">
        <v>1309</v>
      </c>
      <c r="H2" t="s">
        <v>1417</v>
      </c>
      <c r="I2" t="s">
        <v>1416</v>
      </c>
      <c r="J2">
        <f>COUNTIF(H$2:H$104, I2)</f>
        <v>0</v>
      </c>
      <c r="M2" t="s">
        <v>1491</v>
      </c>
      <c r="U2" t="s">
        <v>1298</v>
      </c>
      <c r="X2" t="s">
        <v>1514</v>
      </c>
      <c r="AB2" s="65" t="s">
        <v>1520</v>
      </c>
      <c r="AC2" t="s">
        <v>1510</v>
      </c>
    </row>
    <row r="3" spans="1:29" x14ac:dyDescent="0.3">
      <c r="A3" t="s">
        <v>1310</v>
      </c>
      <c r="B3" t="s">
        <v>1323</v>
      </c>
      <c r="C3">
        <f t="shared" ref="C3:C18" si="0">COUNTIF(A$2:A$71, B3)</f>
        <v>1</v>
      </c>
      <c r="D3" t="s">
        <v>1309</v>
      </c>
      <c r="F3" t="s">
        <v>1309</v>
      </c>
      <c r="G3" t="s">
        <v>1309</v>
      </c>
      <c r="H3" t="s">
        <v>1418</v>
      </c>
      <c r="I3" t="s">
        <v>1323</v>
      </c>
      <c r="J3">
        <f t="shared" ref="J3:J18" si="1">COUNTIF(H$2:H$104, I3)</f>
        <v>0</v>
      </c>
      <c r="M3" t="s">
        <v>1492</v>
      </c>
      <c r="U3" t="s">
        <v>1515</v>
      </c>
      <c r="V3" t="s">
        <v>1498</v>
      </c>
      <c r="X3" t="s">
        <v>1516</v>
      </c>
      <c r="Y3" t="s">
        <v>1508</v>
      </c>
      <c r="AB3" s="65" t="s">
        <v>1522</v>
      </c>
      <c r="AC3" t="s">
        <v>1511</v>
      </c>
    </row>
    <row r="4" spans="1:29" x14ac:dyDescent="0.3">
      <c r="A4" t="s">
        <v>1313</v>
      </c>
      <c r="B4" t="s">
        <v>1319</v>
      </c>
      <c r="C4">
        <f t="shared" si="0"/>
        <v>0</v>
      </c>
      <c r="D4" t="s">
        <v>1309</v>
      </c>
      <c r="F4" t="s">
        <v>1309</v>
      </c>
      <c r="G4" t="s">
        <v>1309</v>
      </c>
      <c r="H4" t="s">
        <v>1316</v>
      </c>
      <c r="I4" t="s">
        <v>1319</v>
      </c>
      <c r="J4">
        <f t="shared" si="1"/>
        <v>1</v>
      </c>
      <c r="S4" t="s">
        <v>1309</v>
      </c>
      <c r="U4" t="s">
        <v>1517</v>
      </c>
      <c r="V4" t="s">
        <v>1499</v>
      </c>
      <c r="X4" t="s">
        <v>1518</v>
      </c>
      <c r="Y4" t="s">
        <v>1509</v>
      </c>
      <c r="AB4" s="65" t="s">
        <v>1524</v>
      </c>
      <c r="AC4" t="s">
        <v>1512</v>
      </c>
    </row>
    <row r="5" spans="1:29" x14ac:dyDescent="0.3">
      <c r="A5" t="s">
        <v>1321</v>
      </c>
      <c r="B5" t="s">
        <v>1410</v>
      </c>
      <c r="C5">
        <f t="shared" si="0"/>
        <v>0</v>
      </c>
      <c r="D5" t="s">
        <v>1309</v>
      </c>
      <c r="F5" t="s">
        <v>1309</v>
      </c>
      <c r="G5" t="s">
        <v>1309</v>
      </c>
      <c r="H5" t="s">
        <v>1419</v>
      </c>
      <c r="I5" t="s">
        <v>1410</v>
      </c>
      <c r="J5">
        <f t="shared" si="1"/>
        <v>0</v>
      </c>
      <c r="S5" t="s">
        <v>1309</v>
      </c>
      <c r="U5" t="s">
        <v>1519</v>
      </c>
      <c r="V5" t="s">
        <v>1500</v>
      </c>
      <c r="X5" t="s">
        <v>1520</v>
      </c>
      <c r="Y5" t="s">
        <v>1510</v>
      </c>
      <c r="AB5" s="65"/>
    </row>
    <row r="6" spans="1:29" x14ac:dyDescent="0.3">
      <c r="A6" t="s">
        <v>1324</v>
      </c>
      <c r="B6" t="s">
        <v>1405</v>
      </c>
      <c r="C6">
        <f t="shared" si="0"/>
        <v>0</v>
      </c>
      <c r="D6" t="s">
        <v>1309</v>
      </c>
      <c r="F6" t="s">
        <v>1309</v>
      </c>
      <c r="G6" t="s">
        <v>1309</v>
      </c>
      <c r="H6" t="s">
        <v>1420</v>
      </c>
      <c r="I6" t="s">
        <v>1405</v>
      </c>
      <c r="J6">
        <f t="shared" si="1"/>
        <v>0</v>
      </c>
      <c r="S6" t="s">
        <v>1309</v>
      </c>
      <c r="U6" t="s">
        <v>1521</v>
      </c>
      <c r="V6" t="s">
        <v>1501</v>
      </c>
      <c r="X6" t="s">
        <v>1522</v>
      </c>
      <c r="Y6" t="s">
        <v>1511</v>
      </c>
      <c r="AB6" s="65"/>
    </row>
    <row r="7" spans="1:29" x14ac:dyDescent="0.3">
      <c r="A7" t="s">
        <v>1328</v>
      </c>
      <c r="B7" t="s">
        <v>1406</v>
      </c>
      <c r="C7">
        <f t="shared" si="0"/>
        <v>0</v>
      </c>
      <c r="D7" t="s">
        <v>1309</v>
      </c>
      <c r="F7" t="s">
        <v>1309</v>
      </c>
      <c r="G7" t="s">
        <v>1309</v>
      </c>
      <c r="H7" t="s">
        <v>1331</v>
      </c>
      <c r="I7" t="s">
        <v>1406</v>
      </c>
      <c r="J7">
        <f t="shared" si="1"/>
        <v>0</v>
      </c>
      <c r="M7" t="s">
        <v>1498</v>
      </c>
      <c r="N7" t="str" cm="1">
        <f t="array" ref="N7:N22">LOWER(TRIM(M7:M22))</f>
        <v>eurasian sparrowhawk</v>
      </c>
      <c r="O7" t="s">
        <v>1416</v>
      </c>
      <c r="P7">
        <f>COUNTIF(N$7:N$22, O7)</f>
        <v>0</v>
      </c>
      <c r="S7" t="s">
        <v>1309</v>
      </c>
      <c r="U7" t="s">
        <v>1523</v>
      </c>
      <c r="V7" t="s">
        <v>1502</v>
      </c>
      <c r="X7" t="s">
        <v>1524</v>
      </c>
      <c r="Y7" t="s">
        <v>1512</v>
      </c>
      <c r="AB7" s="65"/>
    </row>
    <row r="8" spans="1:29" x14ac:dyDescent="0.3">
      <c r="A8" t="s">
        <v>1334</v>
      </c>
      <c r="B8" t="s">
        <v>1407</v>
      </c>
      <c r="C8">
        <f t="shared" si="0"/>
        <v>0</v>
      </c>
      <c r="D8" t="s">
        <v>1309</v>
      </c>
      <c r="F8" t="s">
        <v>1309</v>
      </c>
      <c r="G8" t="s">
        <v>1309</v>
      </c>
      <c r="H8" t="s">
        <v>1421</v>
      </c>
      <c r="I8" t="s">
        <v>1407</v>
      </c>
      <c r="J8">
        <f>COUNTIF(H$2:H$104, I8)</f>
        <v>1</v>
      </c>
      <c r="M8" t="s">
        <v>1499</v>
      </c>
      <c r="N8" t="str">
        <v>common sandpiper</v>
      </c>
      <c r="O8" t="s">
        <v>1323</v>
      </c>
      <c r="P8">
        <f t="shared" ref="P8:P22" si="2">COUNTIF(N$7:N$22, O8)</f>
        <v>0</v>
      </c>
      <c r="S8" t="s">
        <v>1309</v>
      </c>
      <c r="U8" t="s">
        <v>1525</v>
      </c>
      <c r="V8" t="s">
        <v>1503</v>
      </c>
      <c r="AB8" s="65"/>
    </row>
    <row r="9" spans="1:29" x14ac:dyDescent="0.3">
      <c r="A9" t="s">
        <v>1338</v>
      </c>
      <c r="B9" t="s">
        <v>1408</v>
      </c>
      <c r="C9">
        <f t="shared" si="0"/>
        <v>0</v>
      </c>
      <c r="D9" t="s">
        <v>1309</v>
      </c>
      <c r="F9" t="s">
        <v>1309</v>
      </c>
      <c r="G9" t="s">
        <v>1309</v>
      </c>
      <c r="H9" t="s">
        <v>1422</v>
      </c>
      <c r="I9" t="s">
        <v>1408</v>
      </c>
      <c r="J9">
        <f t="shared" si="1"/>
        <v>0</v>
      </c>
      <c r="M9" t="s">
        <v>1500</v>
      </c>
      <c r="N9" t="str">
        <v>common buzzard</v>
      </c>
      <c r="O9" t="s">
        <v>1319</v>
      </c>
      <c r="P9">
        <f t="shared" si="2"/>
        <v>0</v>
      </c>
      <c r="S9" t="s">
        <v>1309</v>
      </c>
      <c r="U9" t="s">
        <v>1526</v>
      </c>
      <c r="V9" t="s">
        <v>1504</v>
      </c>
      <c r="AB9" s="65"/>
    </row>
    <row r="10" spans="1:29" x14ac:dyDescent="0.3">
      <c r="A10" t="s">
        <v>1341</v>
      </c>
      <c r="B10" t="s">
        <v>1411</v>
      </c>
      <c r="C10">
        <f t="shared" si="0"/>
        <v>0</v>
      </c>
      <c r="D10" t="s">
        <v>1309</v>
      </c>
      <c r="F10" t="s">
        <v>1309</v>
      </c>
      <c r="G10" t="s">
        <v>1309</v>
      </c>
      <c r="H10" t="s">
        <v>1344</v>
      </c>
      <c r="I10" t="s">
        <v>1411</v>
      </c>
      <c r="J10">
        <f t="shared" si="1"/>
        <v>0</v>
      </c>
      <c r="M10" t="s">
        <v>1501</v>
      </c>
      <c r="N10" t="str">
        <v>common ringed plover</v>
      </c>
      <c r="O10" t="s">
        <v>1410</v>
      </c>
      <c r="P10">
        <f t="shared" si="2"/>
        <v>0</v>
      </c>
      <c r="S10" t="s">
        <v>1309</v>
      </c>
      <c r="U10" t="s">
        <v>1527</v>
      </c>
      <c r="V10" t="s">
        <v>1505</v>
      </c>
      <c r="AB10" s="65"/>
    </row>
    <row r="11" spans="1:29" x14ac:dyDescent="0.3">
      <c r="A11" t="s">
        <v>1347</v>
      </c>
      <c r="B11" t="s">
        <v>1412</v>
      </c>
      <c r="C11">
        <f t="shared" si="0"/>
        <v>0</v>
      </c>
      <c r="D11" t="s">
        <v>1309</v>
      </c>
      <c r="F11" t="s">
        <v>1309</v>
      </c>
      <c r="G11" t="s">
        <v>1309</v>
      </c>
      <c r="H11" t="s">
        <v>1423</v>
      </c>
      <c r="I11" t="s">
        <v>1412</v>
      </c>
      <c r="J11">
        <f t="shared" si="1"/>
        <v>0</v>
      </c>
      <c r="M11" t="s">
        <v>1502</v>
      </c>
      <c r="N11" t="str">
        <v>european shag</v>
      </c>
      <c r="O11" t="s">
        <v>1405</v>
      </c>
      <c r="P11">
        <f t="shared" si="2"/>
        <v>0</v>
      </c>
      <c r="S11" t="s">
        <v>1309</v>
      </c>
      <c r="U11" t="s">
        <v>1528</v>
      </c>
      <c r="V11" t="s">
        <v>1506</v>
      </c>
      <c r="AB11" s="65"/>
    </row>
    <row r="12" spans="1:29" x14ac:dyDescent="0.3">
      <c r="A12" t="s">
        <v>1350</v>
      </c>
      <c r="B12" t="s">
        <v>1409</v>
      </c>
      <c r="C12">
        <f t="shared" si="0"/>
        <v>0</v>
      </c>
      <c r="D12" t="s">
        <v>1309</v>
      </c>
      <c r="F12" t="s">
        <v>1309</v>
      </c>
      <c r="G12" t="s">
        <v>1309</v>
      </c>
      <c r="H12" t="s">
        <v>1424</v>
      </c>
      <c r="I12" t="s">
        <v>1409</v>
      </c>
      <c r="J12">
        <f t="shared" si="1"/>
        <v>0</v>
      </c>
      <c r="M12" t="s">
        <v>1503</v>
      </c>
      <c r="N12" t="str">
        <v>house sparrow</v>
      </c>
      <c r="O12" t="s">
        <v>1406</v>
      </c>
      <c r="P12">
        <f t="shared" si="2"/>
        <v>0</v>
      </c>
      <c r="S12" t="s">
        <v>1309</v>
      </c>
      <c r="U12" t="s">
        <v>1120</v>
      </c>
      <c r="V12" t="s">
        <v>1496</v>
      </c>
      <c r="AB12" s="65"/>
    </row>
    <row r="13" spans="1:29" x14ac:dyDescent="0.3">
      <c r="A13" t="s">
        <v>1353</v>
      </c>
      <c r="B13" t="s">
        <v>1391</v>
      </c>
      <c r="C13">
        <f t="shared" si="0"/>
        <v>0</v>
      </c>
      <c r="D13" t="s">
        <v>1309</v>
      </c>
      <c r="F13" t="s">
        <v>1309</v>
      </c>
      <c r="G13" t="s">
        <v>1309</v>
      </c>
      <c r="H13" t="s">
        <v>1356</v>
      </c>
      <c r="I13" t="s">
        <v>1391</v>
      </c>
      <c r="J13">
        <f t="shared" si="1"/>
        <v>1</v>
      </c>
      <c r="M13" t="s">
        <v>1504</v>
      </c>
      <c r="N13" t="str">
        <v>sand martin</v>
      </c>
      <c r="O13" t="s">
        <v>1407</v>
      </c>
      <c r="P13">
        <f t="shared" si="2"/>
        <v>0</v>
      </c>
      <c r="S13" t="s">
        <v>1309</v>
      </c>
      <c r="U13" t="s">
        <v>1529</v>
      </c>
      <c r="V13" t="s">
        <v>1507</v>
      </c>
      <c r="AB13" s="65"/>
    </row>
    <row r="14" spans="1:29" x14ac:dyDescent="0.3">
      <c r="A14" t="s">
        <v>1359</v>
      </c>
      <c r="B14" t="s">
        <v>1413</v>
      </c>
      <c r="C14">
        <f t="shared" si="0"/>
        <v>0</v>
      </c>
      <c r="D14" t="s">
        <v>1309</v>
      </c>
      <c r="F14" t="s">
        <v>1309</v>
      </c>
      <c r="G14" t="s">
        <v>1309</v>
      </c>
      <c r="H14" t="s">
        <v>1425</v>
      </c>
      <c r="I14" t="s">
        <v>1413</v>
      </c>
      <c r="J14">
        <f t="shared" si="1"/>
        <v>0</v>
      </c>
      <c r="M14" t="s">
        <v>1505</v>
      </c>
      <c r="N14" t="str">
        <v>whinchat</v>
      </c>
      <c r="O14" t="s">
        <v>1408</v>
      </c>
      <c r="P14">
        <f t="shared" si="2"/>
        <v>0</v>
      </c>
      <c r="S14" t="s">
        <v>1309</v>
      </c>
      <c r="AB14" s="65"/>
    </row>
    <row r="15" spans="1:29" x14ac:dyDescent="0.3">
      <c r="A15" t="s">
        <v>1362</v>
      </c>
      <c r="B15" t="s">
        <v>1414</v>
      </c>
      <c r="C15">
        <f t="shared" si="0"/>
        <v>0</v>
      </c>
      <c r="D15" t="s">
        <v>1309</v>
      </c>
      <c r="F15" t="s">
        <v>1309</v>
      </c>
      <c r="G15" t="s">
        <v>1309</v>
      </c>
      <c r="H15" t="s">
        <v>1426</v>
      </c>
      <c r="I15" t="s">
        <v>1414</v>
      </c>
      <c r="J15">
        <f t="shared" si="1"/>
        <v>0</v>
      </c>
      <c r="M15" t="s">
        <v>1506</v>
      </c>
      <c r="N15" t="str">
        <v>common starling</v>
      </c>
      <c r="O15" t="s">
        <v>1411</v>
      </c>
      <c r="P15">
        <f t="shared" si="2"/>
        <v>0</v>
      </c>
      <c r="S15" t="s">
        <v>1309</v>
      </c>
      <c r="AB15" s="65" t="s">
        <v>1520</v>
      </c>
      <c r="AC15" t="s">
        <v>1510</v>
      </c>
    </row>
    <row r="16" spans="1:29" x14ac:dyDescent="0.3">
      <c r="A16" t="s">
        <v>1365</v>
      </c>
      <c r="B16" t="s">
        <v>1415</v>
      </c>
      <c r="C16">
        <f t="shared" si="0"/>
        <v>0</v>
      </c>
      <c r="D16" t="s">
        <v>1309</v>
      </c>
      <c r="F16" t="s">
        <v>1309</v>
      </c>
      <c r="G16" t="s">
        <v>1309</v>
      </c>
      <c r="H16" t="s">
        <v>1427</v>
      </c>
      <c r="I16" t="s">
        <v>1415</v>
      </c>
      <c r="J16">
        <f t="shared" si="1"/>
        <v>1</v>
      </c>
      <c r="M16" t="s">
        <v>1496</v>
      </c>
      <c r="N16" t="str">
        <v>song thrush</v>
      </c>
      <c r="O16" t="s">
        <v>1412</v>
      </c>
      <c r="P16">
        <f t="shared" si="2"/>
        <v>0</v>
      </c>
      <c r="S16" t="s">
        <v>1309</v>
      </c>
      <c r="U16" t="s">
        <v>1530</v>
      </c>
      <c r="AB16" s="65" t="s">
        <v>1522</v>
      </c>
      <c r="AC16" t="s">
        <v>1511</v>
      </c>
    </row>
    <row r="17" spans="1:29" x14ac:dyDescent="0.3">
      <c r="A17" t="s">
        <v>1369</v>
      </c>
      <c r="B17" t="s">
        <v>1332</v>
      </c>
      <c r="C17">
        <f t="shared" si="0"/>
        <v>0</v>
      </c>
      <c r="D17" t="s">
        <v>1309</v>
      </c>
      <c r="F17" t="s">
        <v>1309</v>
      </c>
      <c r="G17" t="s">
        <v>1309</v>
      </c>
      <c r="H17" t="s">
        <v>1428</v>
      </c>
      <c r="I17" t="s">
        <v>1332</v>
      </c>
      <c r="J17">
        <f t="shared" si="1"/>
        <v>1</v>
      </c>
      <c r="M17" t="s">
        <v>1507</v>
      </c>
      <c r="N17" t="str">
        <v>ring ouzel</v>
      </c>
      <c r="O17" t="s">
        <v>1409</v>
      </c>
      <c r="P17">
        <f t="shared" si="2"/>
        <v>0</v>
      </c>
      <c r="S17" t="s">
        <v>1309</v>
      </c>
      <c r="U17" t="s">
        <v>1298</v>
      </c>
      <c r="X17" t="s">
        <v>1299</v>
      </c>
      <c r="AB17" s="65" t="s">
        <v>1524</v>
      </c>
      <c r="AC17" t="s">
        <v>1512</v>
      </c>
    </row>
    <row r="18" spans="1:29" x14ac:dyDescent="0.3">
      <c r="A18" t="s">
        <v>1372</v>
      </c>
      <c r="B18" t="s">
        <v>1375</v>
      </c>
      <c r="C18">
        <f t="shared" si="0"/>
        <v>0</v>
      </c>
      <c r="D18" t="s">
        <v>1309</v>
      </c>
      <c r="F18" t="s">
        <v>1309</v>
      </c>
      <c r="G18" t="s">
        <v>1309</v>
      </c>
      <c r="H18" t="s">
        <v>1429</v>
      </c>
      <c r="I18" t="s">
        <v>1375</v>
      </c>
      <c r="J18">
        <f t="shared" si="1"/>
        <v>0</v>
      </c>
      <c r="M18" t="s">
        <v>1508</v>
      </c>
      <c r="N18" t="str">
        <v>sycamore</v>
      </c>
      <c r="O18" t="s">
        <v>1391</v>
      </c>
      <c r="P18">
        <f t="shared" si="2"/>
        <v>0</v>
      </c>
      <c r="S18" t="s">
        <v>1309</v>
      </c>
      <c r="U18" t="s">
        <v>1531</v>
      </c>
      <c r="V18" t="s">
        <v>1532</v>
      </c>
    </row>
    <row r="19" spans="1:29" x14ac:dyDescent="0.3">
      <c r="A19" t="s">
        <v>1376</v>
      </c>
      <c r="D19" t="s">
        <v>1309</v>
      </c>
      <c r="F19" t="s">
        <v>1309</v>
      </c>
      <c r="G19" t="s">
        <v>1309</v>
      </c>
      <c r="H19" t="s">
        <v>1430</v>
      </c>
      <c r="M19" t="s">
        <v>1509</v>
      </c>
      <c r="N19" t="str">
        <v>mute swan</v>
      </c>
      <c r="O19" t="s">
        <v>1413</v>
      </c>
      <c r="P19">
        <f t="shared" si="2"/>
        <v>0</v>
      </c>
      <c r="S19" t="s">
        <v>1309</v>
      </c>
      <c r="U19" t="s">
        <v>1533</v>
      </c>
      <c r="V19" t="s">
        <v>1534</v>
      </c>
    </row>
    <row r="20" spans="1:29" x14ac:dyDescent="0.3">
      <c r="A20" t="s">
        <v>1382</v>
      </c>
      <c r="C20">
        <f>COUNTA(A2:A71)</f>
        <v>70</v>
      </c>
      <c r="D20" t="s">
        <v>1309</v>
      </c>
      <c r="F20" t="s">
        <v>1309</v>
      </c>
      <c r="G20" t="s">
        <v>1309</v>
      </c>
      <c r="H20" t="s">
        <v>1431</v>
      </c>
      <c r="J20">
        <f>COUNTA(H2:H104)</f>
        <v>103</v>
      </c>
      <c r="M20" t="s">
        <v>1510</v>
      </c>
      <c r="N20" t="str">
        <v>american mink</v>
      </c>
      <c r="O20" t="s">
        <v>1414</v>
      </c>
      <c r="P20">
        <f t="shared" si="2"/>
        <v>0</v>
      </c>
      <c r="S20" t="s">
        <v>1309</v>
      </c>
      <c r="U20" t="s">
        <v>1525</v>
      </c>
      <c r="V20" t="s">
        <v>1503</v>
      </c>
    </row>
    <row r="21" spans="1:29" x14ac:dyDescent="0.3">
      <c r="A21" t="s">
        <v>1385</v>
      </c>
      <c r="D21" t="s">
        <v>1309</v>
      </c>
      <c r="F21" t="s">
        <v>1309</v>
      </c>
      <c r="G21" t="s">
        <v>1309</v>
      </c>
      <c r="H21" t="s">
        <v>1432</v>
      </c>
      <c r="M21" t="s">
        <v>1511</v>
      </c>
      <c r="N21" t="str">
        <v>common rhododendron</v>
      </c>
      <c r="O21" t="s">
        <v>1415</v>
      </c>
      <c r="P21">
        <f t="shared" si="2"/>
        <v>0</v>
      </c>
      <c r="S21" t="s">
        <v>1309</v>
      </c>
      <c r="U21" t="s">
        <v>1008</v>
      </c>
      <c r="V21" t="s">
        <v>1009</v>
      </c>
    </row>
    <row r="22" spans="1:29" x14ac:dyDescent="0.3">
      <c r="A22" t="s">
        <v>1388</v>
      </c>
      <c r="D22" t="s">
        <v>1309</v>
      </c>
      <c r="F22" t="s">
        <v>1309</v>
      </c>
      <c r="G22" t="s">
        <v>1309</v>
      </c>
      <c r="H22" t="s">
        <v>1391</v>
      </c>
      <c r="M22" t="s">
        <v>1512</v>
      </c>
      <c r="N22" t="str">
        <v>salmonberry</v>
      </c>
      <c r="O22" t="s">
        <v>1332</v>
      </c>
      <c r="P22">
        <f t="shared" si="2"/>
        <v>1</v>
      </c>
      <c r="S22" t="s">
        <v>1309</v>
      </c>
      <c r="U22" t="s">
        <v>1529</v>
      </c>
      <c r="V22" t="s">
        <v>1507</v>
      </c>
    </row>
    <row r="23" spans="1:29" x14ac:dyDescent="0.3">
      <c r="A23" t="s">
        <v>1395</v>
      </c>
      <c r="D23" t="s">
        <v>1309</v>
      </c>
      <c r="F23" t="s">
        <v>1309</v>
      </c>
      <c r="G23" t="s">
        <v>1309</v>
      </c>
      <c r="H23" t="s">
        <v>1433</v>
      </c>
      <c r="O23" t="s">
        <v>1375</v>
      </c>
      <c r="P23">
        <f>COUNTIF(N$7:N$22, O23)</f>
        <v>0</v>
      </c>
      <c r="S23" t="s">
        <v>1309</v>
      </c>
    </row>
    <row r="24" spans="1:29" x14ac:dyDescent="0.3">
      <c r="A24" t="s">
        <v>1398</v>
      </c>
      <c r="D24" t="s">
        <v>1309</v>
      </c>
      <c r="F24" t="s">
        <v>1309</v>
      </c>
      <c r="G24" t="s">
        <v>1309</v>
      </c>
      <c r="H24" t="s">
        <v>1434</v>
      </c>
      <c r="S24" t="s">
        <v>1309</v>
      </c>
    </row>
    <row r="25" spans="1:29" x14ac:dyDescent="0.3">
      <c r="A25" t="s">
        <v>1400</v>
      </c>
      <c r="D25" t="s">
        <v>1309</v>
      </c>
      <c r="F25" t="s">
        <v>1309</v>
      </c>
      <c r="G25" t="s">
        <v>1309</v>
      </c>
      <c r="H25" t="s">
        <v>1402</v>
      </c>
      <c r="S25" t="s">
        <v>1309</v>
      </c>
    </row>
    <row r="26" spans="1:29" x14ac:dyDescent="0.3">
      <c r="A26" t="s">
        <v>1307</v>
      </c>
      <c r="H26" t="s">
        <v>1435</v>
      </c>
    </row>
    <row r="27" spans="1:29" x14ac:dyDescent="0.3">
      <c r="A27" t="s">
        <v>1311</v>
      </c>
      <c r="H27" t="s">
        <v>1436</v>
      </c>
    </row>
    <row r="28" spans="1:29" x14ac:dyDescent="0.3">
      <c r="A28" t="s">
        <v>1314</v>
      </c>
      <c r="H28" t="s">
        <v>1317</v>
      </c>
    </row>
    <row r="29" spans="1:29" x14ac:dyDescent="0.3">
      <c r="A29" t="s">
        <v>1322</v>
      </c>
      <c r="H29" t="s">
        <v>1437</v>
      </c>
    </row>
    <row r="30" spans="1:29" x14ac:dyDescent="0.3">
      <c r="A30" t="s">
        <v>1325</v>
      </c>
      <c r="H30" t="s">
        <v>1438</v>
      </c>
    </row>
    <row r="31" spans="1:29" x14ac:dyDescent="0.3">
      <c r="A31" t="s">
        <v>1329</v>
      </c>
      <c r="H31" t="s">
        <v>1439</v>
      </c>
    </row>
    <row r="32" spans="1:29" x14ac:dyDescent="0.3">
      <c r="A32" t="s">
        <v>1335</v>
      </c>
      <c r="H32" t="s">
        <v>1440</v>
      </c>
    </row>
    <row r="33" spans="1:8" x14ac:dyDescent="0.3">
      <c r="A33" t="s">
        <v>1339</v>
      </c>
      <c r="H33" t="s">
        <v>1441</v>
      </c>
    </row>
    <row r="34" spans="1:8" x14ac:dyDescent="0.3">
      <c r="A34" t="s">
        <v>1342</v>
      </c>
      <c r="H34" t="s">
        <v>1442</v>
      </c>
    </row>
    <row r="35" spans="1:8" x14ac:dyDescent="0.3">
      <c r="A35" t="s">
        <v>1348</v>
      </c>
      <c r="H35" t="s">
        <v>1443</v>
      </c>
    </row>
    <row r="36" spans="1:8" x14ac:dyDescent="0.3">
      <c r="A36" t="s">
        <v>1351</v>
      </c>
      <c r="H36" t="s">
        <v>1444</v>
      </c>
    </row>
    <row r="37" spans="1:8" x14ac:dyDescent="0.3">
      <c r="A37" t="s">
        <v>1354</v>
      </c>
      <c r="H37" t="s">
        <v>1357</v>
      </c>
    </row>
    <row r="38" spans="1:8" x14ac:dyDescent="0.3">
      <c r="A38" t="s">
        <v>1360</v>
      </c>
      <c r="H38" t="s">
        <v>1445</v>
      </c>
    </row>
    <row r="39" spans="1:8" x14ac:dyDescent="0.3">
      <c r="A39" t="s">
        <v>1363</v>
      </c>
      <c r="H39" t="s">
        <v>1446</v>
      </c>
    </row>
    <row r="40" spans="1:8" x14ac:dyDescent="0.3">
      <c r="A40" t="s">
        <v>1366</v>
      </c>
      <c r="H40" t="s">
        <v>1447</v>
      </c>
    </row>
    <row r="41" spans="1:8" x14ac:dyDescent="0.3">
      <c r="A41" t="s">
        <v>1370</v>
      </c>
      <c r="H41" t="s">
        <v>1448</v>
      </c>
    </row>
    <row r="42" spans="1:8" x14ac:dyDescent="0.3">
      <c r="A42" t="s">
        <v>1373</v>
      </c>
      <c r="H42" t="s">
        <v>1449</v>
      </c>
    </row>
    <row r="43" spans="1:8" x14ac:dyDescent="0.3">
      <c r="A43" t="s">
        <v>1377</v>
      </c>
      <c r="H43" t="s">
        <v>1379</v>
      </c>
    </row>
    <row r="44" spans="1:8" x14ac:dyDescent="0.3">
      <c r="A44" t="s">
        <v>1383</v>
      </c>
      <c r="H44" t="s">
        <v>1450</v>
      </c>
    </row>
    <row r="45" spans="1:8" x14ac:dyDescent="0.3">
      <c r="A45" t="s">
        <v>1386</v>
      </c>
      <c r="H45" t="s">
        <v>1451</v>
      </c>
    </row>
    <row r="46" spans="1:8" x14ac:dyDescent="0.3">
      <c r="A46" t="s">
        <v>1389</v>
      </c>
      <c r="H46" t="s">
        <v>1392</v>
      </c>
    </row>
    <row r="47" spans="1:8" x14ac:dyDescent="0.3">
      <c r="A47" t="s">
        <v>1396</v>
      </c>
      <c r="H47" t="s">
        <v>1452</v>
      </c>
    </row>
    <row r="48" spans="1:8" x14ac:dyDescent="0.3">
      <c r="A48" t="s">
        <v>1399</v>
      </c>
      <c r="H48" t="s">
        <v>1453</v>
      </c>
    </row>
    <row r="49" spans="1:8" x14ac:dyDescent="0.3">
      <c r="A49" t="s">
        <v>1401</v>
      </c>
      <c r="H49" t="s">
        <v>1415</v>
      </c>
    </row>
    <row r="50" spans="1:8" x14ac:dyDescent="0.3">
      <c r="A50" t="s">
        <v>1308</v>
      </c>
      <c r="H50" t="s">
        <v>1454</v>
      </c>
    </row>
    <row r="51" spans="1:8" x14ac:dyDescent="0.3">
      <c r="A51" t="s">
        <v>1312</v>
      </c>
      <c r="H51" t="s">
        <v>1455</v>
      </c>
    </row>
    <row r="52" spans="1:8" x14ac:dyDescent="0.3">
      <c r="A52" t="s">
        <v>1315</v>
      </c>
      <c r="H52" t="s">
        <v>1318</v>
      </c>
    </row>
    <row r="53" spans="1:8" x14ac:dyDescent="0.3">
      <c r="A53" t="s">
        <v>1323</v>
      </c>
      <c r="H53" t="s">
        <v>1456</v>
      </c>
    </row>
    <row r="54" spans="1:8" x14ac:dyDescent="0.3">
      <c r="A54" t="s">
        <v>1326</v>
      </c>
      <c r="H54" t="s">
        <v>1457</v>
      </c>
    </row>
    <row r="55" spans="1:8" x14ac:dyDescent="0.3">
      <c r="A55" t="s">
        <v>1330</v>
      </c>
      <c r="H55" t="s">
        <v>1332</v>
      </c>
    </row>
    <row r="56" spans="1:8" x14ac:dyDescent="0.3">
      <c r="A56" t="s">
        <v>1336</v>
      </c>
      <c r="H56" t="s">
        <v>1458</v>
      </c>
    </row>
    <row r="57" spans="1:8" x14ac:dyDescent="0.3">
      <c r="A57" t="s">
        <v>1340</v>
      </c>
      <c r="H57" t="s">
        <v>1459</v>
      </c>
    </row>
    <row r="58" spans="1:8" x14ac:dyDescent="0.3">
      <c r="A58" t="s">
        <v>1343</v>
      </c>
      <c r="H58" t="s">
        <v>1345</v>
      </c>
    </row>
    <row r="59" spans="1:8" x14ac:dyDescent="0.3">
      <c r="A59" t="s">
        <v>1349</v>
      </c>
      <c r="H59" t="s">
        <v>1407</v>
      </c>
    </row>
    <row r="60" spans="1:8" x14ac:dyDescent="0.3">
      <c r="A60" t="s">
        <v>1352</v>
      </c>
      <c r="H60" t="s">
        <v>1460</v>
      </c>
    </row>
    <row r="61" spans="1:8" x14ac:dyDescent="0.3">
      <c r="A61" t="s">
        <v>1355</v>
      </c>
      <c r="H61" t="s">
        <v>1461</v>
      </c>
    </row>
    <row r="62" spans="1:8" x14ac:dyDescent="0.3">
      <c r="A62" t="s">
        <v>1361</v>
      </c>
      <c r="H62" t="s">
        <v>1462</v>
      </c>
    </row>
    <row r="63" spans="1:8" x14ac:dyDescent="0.3">
      <c r="A63" t="s">
        <v>1364</v>
      </c>
      <c r="H63" t="s">
        <v>1463</v>
      </c>
    </row>
    <row r="64" spans="1:8" x14ac:dyDescent="0.3">
      <c r="A64" t="s">
        <v>1367</v>
      </c>
      <c r="H64" t="s">
        <v>1464</v>
      </c>
    </row>
    <row r="65" spans="1:8" x14ac:dyDescent="0.3">
      <c r="A65" t="s">
        <v>1371</v>
      </c>
      <c r="H65" t="s">
        <v>1465</v>
      </c>
    </row>
    <row r="66" spans="1:8" x14ac:dyDescent="0.3">
      <c r="A66" t="s">
        <v>1374</v>
      </c>
      <c r="H66" t="s">
        <v>1466</v>
      </c>
    </row>
    <row r="67" spans="1:8" x14ac:dyDescent="0.3">
      <c r="A67" t="s">
        <v>1378</v>
      </c>
      <c r="H67" t="s">
        <v>1380</v>
      </c>
    </row>
    <row r="68" spans="1:8" x14ac:dyDescent="0.3">
      <c r="A68" t="s">
        <v>1384</v>
      </c>
      <c r="H68" t="s">
        <v>1467</v>
      </c>
    </row>
    <row r="69" spans="1:8" x14ac:dyDescent="0.3">
      <c r="A69" t="s">
        <v>1387</v>
      </c>
      <c r="H69" t="s">
        <v>1468</v>
      </c>
    </row>
    <row r="70" spans="1:8" x14ac:dyDescent="0.3">
      <c r="A70" t="s">
        <v>1390</v>
      </c>
      <c r="H70" t="s">
        <v>1393</v>
      </c>
    </row>
    <row r="71" spans="1:8" x14ac:dyDescent="0.3">
      <c r="A71" t="s">
        <v>1397</v>
      </c>
      <c r="H71" t="s">
        <v>1469</v>
      </c>
    </row>
    <row r="72" spans="1:8" x14ac:dyDescent="0.3">
      <c r="H72" t="s">
        <v>1470</v>
      </c>
    </row>
    <row r="73" spans="1:8" x14ac:dyDescent="0.3">
      <c r="H73" t="s">
        <v>1403</v>
      </c>
    </row>
    <row r="74" spans="1:8" x14ac:dyDescent="0.3">
      <c r="H74" t="s">
        <v>1471</v>
      </c>
    </row>
    <row r="75" spans="1:8" x14ac:dyDescent="0.3">
      <c r="H75" t="s">
        <v>1472</v>
      </c>
    </row>
    <row r="76" spans="1:8" x14ac:dyDescent="0.3">
      <c r="H76" t="s">
        <v>1319</v>
      </c>
    </row>
    <row r="77" spans="1:8" x14ac:dyDescent="0.3">
      <c r="H77" t="s">
        <v>1473</v>
      </c>
    </row>
    <row r="78" spans="1:8" x14ac:dyDescent="0.3">
      <c r="H78" t="s">
        <v>1474</v>
      </c>
    </row>
    <row r="79" spans="1:8" x14ac:dyDescent="0.3">
      <c r="H79" t="s">
        <v>1333</v>
      </c>
    </row>
    <row r="80" spans="1:8" x14ac:dyDescent="0.3">
      <c r="H80" t="s">
        <v>1475</v>
      </c>
    </row>
    <row r="81" spans="8:8" x14ac:dyDescent="0.3">
      <c r="H81" t="s">
        <v>1476</v>
      </c>
    </row>
    <row r="82" spans="8:8" x14ac:dyDescent="0.3">
      <c r="H82" t="s">
        <v>1346</v>
      </c>
    </row>
    <row r="83" spans="8:8" x14ac:dyDescent="0.3">
      <c r="H83" t="s">
        <v>1477</v>
      </c>
    </row>
    <row r="84" spans="8:8" x14ac:dyDescent="0.3">
      <c r="H84" t="s">
        <v>1478</v>
      </c>
    </row>
    <row r="85" spans="8:8" x14ac:dyDescent="0.3">
      <c r="H85" t="s">
        <v>1358</v>
      </c>
    </row>
    <row r="86" spans="8:8" x14ac:dyDescent="0.3">
      <c r="H86" t="s">
        <v>1479</v>
      </c>
    </row>
    <row r="87" spans="8:8" x14ac:dyDescent="0.3">
      <c r="H87" t="s">
        <v>1480</v>
      </c>
    </row>
    <row r="88" spans="8:8" x14ac:dyDescent="0.3">
      <c r="H88" t="s">
        <v>1368</v>
      </c>
    </row>
    <row r="89" spans="8:8" x14ac:dyDescent="0.3">
      <c r="H89" t="s">
        <v>1481</v>
      </c>
    </row>
    <row r="90" spans="8:8" x14ac:dyDescent="0.3">
      <c r="H90" t="s">
        <v>1482</v>
      </c>
    </row>
    <row r="91" spans="8:8" x14ac:dyDescent="0.3">
      <c r="H91" t="s">
        <v>1381</v>
      </c>
    </row>
    <row r="92" spans="8:8" x14ac:dyDescent="0.3">
      <c r="H92" t="s">
        <v>1483</v>
      </c>
    </row>
    <row r="93" spans="8:8" x14ac:dyDescent="0.3">
      <c r="H93" t="s">
        <v>1484</v>
      </c>
    </row>
    <row r="94" spans="8:8" x14ac:dyDescent="0.3">
      <c r="H94" t="s">
        <v>1394</v>
      </c>
    </row>
    <row r="95" spans="8:8" x14ac:dyDescent="0.3">
      <c r="H95" t="s">
        <v>1485</v>
      </c>
    </row>
    <row r="96" spans="8:8" x14ac:dyDescent="0.3">
      <c r="H96" t="s">
        <v>1486</v>
      </c>
    </row>
    <row r="97" spans="8:8" x14ac:dyDescent="0.3">
      <c r="H97" t="s">
        <v>1404</v>
      </c>
    </row>
    <row r="98" spans="8:8" x14ac:dyDescent="0.3">
      <c r="H98" t="s">
        <v>1487</v>
      </c>
    </row>
    <row r="99" spans="8:8" x14ac:dyDescent="0.3">
      <c r="H99" t="s">
        <v>1488</v>
      </c>
    </row>
    <row r="100" spans="8:8" x14ac:dyDescent="0.3">
      <c r="H100" t="s">
        <v>1320</v>
      </c>
    </row>
    <row r="101" spans="8:8" x14ac:dyDescent="0.3">
      <c r="H101" t="s">
        <v>1489</v>
      </c>
    </row>
    <row r="102" spans="8:8" x14ac:dyDescent="0.3">
      <c r="H102" t="s">
        <v>1327</v>
      </c>
    </row>
    <row r="103" spans="8:8" x14ac:dyDescent="0.3">
      <c r="H103" t="s">
        <v>1490</v>
      </c>
    </row>
    <row r="104" spans="8:8" x14ac:dyDescent="0.3">
      <c r="H104" t="s">
        <v>1337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FF39DA0-9127-4416-B8ED-E770F6ADB8A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Plants</vt:lpstr>
      <vt:lpstr>Moths</vt:lpstr>
      <vt:lpstr>Sweeps</vt:lpstr>
      <vt:lpstr>Water</vt:lpstr>
      <vt:lpstr>Mammals</vt:lpstr>
      <vt:lpstr>Birds</vt:lpstr>
      <vt:lpstr>Bats</vt:lpstr>
      <vt:lpstr>Counts</vt:lpstr>
      <vt:lpstr>BOCC 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Malcolm Stewart</dc:creator>
  <cp:lastModifiedBy>Malcolm Stewart</cp:lastModifiedBy>
  <dcterms:created xsi:type="dcterms:W3CDTF">2025-11-10T10:22:33Z</dcterms:created>
  <dcterms:modified xsi:type="dcterms:W3CDTF">2025-12-03T11:50:23Z</dcterms:modified>
</cp:coreProperties>
</file>